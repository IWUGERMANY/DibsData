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ndré\Documents\Sicherung von altem NB\Documents\10_Projekte\2023_LEZBau\DIBS Wohnen\norm_profiles\"/>
    </mc:Choice>
  </mc:AlternateContent>
  <xr:revisionPtr revIDLastSave="0" documentId="13_ncr:1_{16A79779-F060-4B15-B111-010622E3A97F}" xr6:coauthVersionLast="36" xr6:coauthVersionMax="36" xr10:uidLastSave="{00000000-0000-0000-0000-000000000000}"/>
  <bookViews>
    <workbookView xWindow="28680" yWindow="-120" windowWidth="29040" windowHeight="15720" activeTab="3" xr2:uid="{00000000-000D-0000-FFFF-FFFF00000000}"/>
  </bookViews>
  <sheets>
    <sheet name="DIN V 18599-10" sheetId="2" r:id="rId1"/>
    <sheet name="SIA 2024" sheetId="3" r:id="rId2"/>
    <sheet name="MZA" sheetId="6" r:id="rId3"/>
    <sheet name="Zuweisungen" sheetId="4" r:id="rId4"/>
  </sheets>
  <calcPr calcId="191029"/>
</workbook>
</file>

<file path=xl/calcChain.xml><?xml version="1.0" encoding="utf-8"?>
<calcChain xmlns="http://schemas.openxmlformats.org/spreadsheetml/2006/main">
  <c r="G71" i="4" l="1"/>
  <c r="BJ112" i="6" l="1"/>
  <c r="BI112" i="6"/>
  <c r="BH112" i="6"/>
  <c r="BG112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BJ111" i="6"/>
  <c r="BI111" i="6"/>
  <c r="BH111" i="6"/>
  <c r="BG111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BJ110" i="6"/>
  <c r="BI110" i="6"/>
  <c r="BH110" i="6"/>
  <c r="BG110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I109" i="6"/>
  <c r="H100" i="4"/>
  <c r="K100" i="4" s="1"/>
  <c r="H99" i="4"/>
  <c r="Z99" i="4" s="1"/>
  <c r="H98" i="4"/>
  <c r="R98" i="4" s="1"/>
  <c r="H97" i="4"/>
  <c r="T97" i="4" s="1"/>
  <c r="H96" i="4"/>
  <c r="T96" i="4" s="1"/>
  <c r="H95" i="4"/>
  <c r="Y95" i="4" s="1"/>
  <c r="H94" i="4"/>
  <c r="Z94" i="4" s="1"/>
  <c r="H93" i="4"/>
  <c r="Z93" i="4" s="1"/>
  <c r="H92" i="4"/>
  <c r="T92" i="4" s="1"/>
  <c r="H91" i="4"/>
  <c r="T91" i="4" s="1"/>
  <c r="H90" i="4"/>
  <c r="T90" i="4" s="1"/>
  <c r="H89" i="4"/>
  <c r="T89" i="4" s="1"/>
  <c r="H88" i="4"/>
  <c r="T88" i="4" s="1"/>
  <c r="H87" i="4"/>
  <c r="Y87" i="4" s="1"/>
  <c r="H86" i="4"/>
  <c r="Z86" i="4" s="1"/>
  <c r="H85" i="4"/>
  <c r="Z85" i="4" s="1"/>
  <c r="H84" i="4"/>
  <c r="K84" i="4" s="1"/>
  <c r="H83" i="4"/>
  <c r="K83" i="4" s="1"/>
  <c r="H82" i="4"/>
  <c r="R82" i="4" s="1"/>
  <c r="H81" i="4"/>
  <c r="T81" i="4" s="1"/>
  <c r="H80" i="4"/>
  <c r="T80" i="4" s="1"/>
  <c r="H79" i="4"/>
  <c r="Y79" i="4" s="1"/>
  <c r="H78" i="4"/>
  <c r="Z78" i="4" s="1"/>
  <c r="H77" i="4"/>
  <c r="Z77" i="4" s="1"/>
  <c r="H76" i="4"/>
  <c r="T76" i="4" s="1"/>
  <c r="H75" i="4"/>
  <c r="T75" i="4" s="1"/>
  <c r="H74" i="4"/>
  <c r="T74" i="4" s="1"/>
  <c r="H73" i="4"/>
  <c r="T73" i="4" s="1"/>
  <c r="H72" i="4"/>
  <c r="T72" i="4" s="1"/>
  <c r="Y71" i="4"/>
  <c r="H70" i="4"/>
  <c r="Z70" i="4" s="1"/>
  <c r="H69" i="4"/>
  <c r="Z69" i="4" s="1"/>
  <c r="H68" i="4"/>
  <c r="K68" i="4" s="1"/>
  <c r="H67" i="4"/>
  <c r="K67" i="4" s="1"/>
  <c r="H66" i="4"/>
  <c r="R66" i="4" s="1"/>
  <c r="H65" i="4"/>
  <c r="T65" i="4" s="1"/>
  <c r="H64" i="4"/>
  <c r="T64" i="4" s="1"/>
  <c r="H63" i="4"/>
  <c r="Y63" i="4" s="1"/>
  <c r="H62" i="4"/>
  <c r="Z62" i="4" s="1"/>
  <c r="H61" i="4"/>
  <c r="Z61" i="4" s="1"/>
  <c r="H60" i="4"/>
  <c r="T60" i="4" s="1"/>
  <c r="H59" i="4"/>
  <c r="T59" i="4" s="1"/>
  <c r="H58" i="4"/>
  <c r="T58" i="4" s="1"/>
  <c r="H57" i="4"/>
  <c r="T57" i="4" s="1"/>
  <c r="H56" i="4"/>
  <c r="T56" i="4" s="1"/>
  <c r="H55" i="4"/>
  <c r="Y55" i="4" s="1"/>
  <c r="H54" i="4"/>
  <c r="Z54" i="4" s="1"/>
  <c r="H53" i="4"/>
  <c r="Z53" i="4" s="1"/>
  <c r="H52" i="4"/>
  <c r="K52" i="4" s="1"/>
  <c r="H51" i="4"/>
  <c r="K51" i="4" s="1"/>
  <c r="H50" i="4"/>
  <c r="R50" i="4" s="1"/>
  <c r="H49" i="4"/>
  <c r="T49" i="4" s="1"/>
  <c r="H48" i="4"/>
  <c r="T48" i="4" s="1"/>
  <c r="H47" i="4"/>
  <c r="Y47" i="4" s="1"/>
  <c r="H46" i="4"/>
  <c r="Z46" i="4" s="1"/>
  <c r="H45" i="4"/>
  <c r="Z45" i="4" s="1"/>
  <c r="H44" i="4"/>
  <c r="T44" i="4" s="1"/>
  <c r="H43" i="4"/>
  <c r="T43" i="4" s="1"/>
  <c r="H42" i="4"/>
  <c r="T42" i="4" s="1"/>
  <c r="H41" i="4"/>
  <c r="T41" i="4" s="1"/>
  <c r="H40" i="4"/>
  <c r="T40" i="4" s="1"/>
  <c r="H39" i="4"/>
  <c r="Y39" i="4" s="1"/>
  <c r="H38" i="4"/>
  <c r="Z38" i="4" s="1"/>
  <c r="H37" i="4"/>
  <c r="Z37" i="4" s="1"/>
  <c r="H36" i="4"/>
  <c r="K36" i="4" s="1"/>
  <c r="H35" i="4"/>
  <c r="K35" i="4" s="1"/>
  <c r="H34" i="4"/>
  <c r="R34" i="4" s="1"/>
  <c r="H33" i="4"/>
  <c r="T33" i="4" s="1"/>
  <c r="H32" i="4"/>
  <c r="T32" i="4" s="1"/>
  <c r="H31" i="4"/>
  <c r="Y31" i="4" s="1"/>
  <c r="H30" i="4"/>
  <c r="Z30" i="4" s="1"/>
  <c r="H29" i="4"/>
  <c r="Z29" i="4" s="1"/>
  <c r="H28" i="4"/>
  <c r="T28" i="4" s="1"/>
  <c r="H27" i="4"/>
  <c r="T27" i="4" s="1"/>
  <c r="H26" i="4"/>
  <c r="T26" i="4" s="1"/>
  <c r="H25" i="4"/>
  <c r="T25" i="4" s="1"/>
  <c r="H24" i="4"/>
  <c r="T24" i="4" s="1"/>
  <c r="H23" i="4"/>
  <c r="Y23" i="4" s="1"/>
  <c r="H22" i="4"/>
  <c r="Z22" i="4" s="1"/>
  <c r="H21" i="4"/>
  <c r="Z21" i="4" s="1"/>
  <c r="H20" i="4"/>
  <c r="K20" i="4" s="1"/>
  <c r="H19" i="4"/>
  <c r="K19" i="4" s="1"/>
  <c r="H18" i="4"/>
  <c r="R18" i="4" s="1"/>
  <c r="H17" i="4"/>
  <c r="T17" i="4" s="1"/>
  <c r="H16" i="4"/>
  <c r="T16" i="4" s="1"/>
  <c r="H15" i="4"/>
  <c r="Y15" i="4" s="1"/>
  <c r="H14" i="4"/>
  <c r="Z14" i="4" s="1"/>
  <c r="H13" i="4"/>
  <c r="Z13" i="4" s="1"/>
  <c r="H12" i="4"/>
  <c r="T12" i="4" s="1"/>
  <c r="H11" i="4"/>
  <c r="T11" i="4" s="1"/>
  <c r="H10" i="4"/>
  <c r="T10" i="4" s="1"/>
  <c r="H9" i="4"/>
  <c r="T9" i="4" s="1"/>
  <c r="H8" i="4"/>
  <c r="T8" i="4" s="1"/>
  <c r="H7" i="4"/>
  <c r="Y7" i="4" s="1"/>
  <c r="H6" i="4"/>
  <c r="Z6" i="4" s="1"/>
  <c r="H5" i="4"/>
  <c r="Z5" i="4" s="1"/>
  <c r="H4" i="4"/>
  <c r="K4" i="4" s="1"/>
  <c r="H3" i="4"/>
  <c r="K3" i="4" s="1"/>
  <c r="H2" i="4"/>
  <c r="R2" i="4" s="1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AG112" i="6"/>
  <c r="AG111" i="6"/>
  <c r="AG110" i="6"/>
  <c r="AF112" i="6"/>
  <c r="AF111" i="6"/>
  <c r="AF110" i="6"/>
  <c r="F110" i="6"/>
  <c r="F111" i="6"/>
  <c r="F112" i="6"/>
  <c r="G112" i="6"/>
  <c r="G111" i="6"/>
  <c r="G110" i="6"/>
  <c r="K5" i="4" l="1"/>
  <c r="K21" i="4"/>
  <c r="K37" i="4"/>
  <c r="K53" i="4"/>
  <c r="K69" i="4"/>
  <c r="K85" i="4"/>
  <c r="S2" i="4"/>
  <c r="T7" i="4"/>
  <c r="R13" i="4"/>
  <c r="S18" i="4"/>
  <c r="T23" i="4"/>
  <c r="R29" i="4"/>
  <c r="S34" i="4"/>
  <c r="T39" i="4"/>
  <c r="R45" i="4"/>
  <c r="S50" i="4"/>
  <c r="T55" i="4"/>
  <c r="R61" i="4"/>
  <c r="S66" i="4"/>
  <c r="T71" i="4"/>
  <c r="R77" i="4"/>
  <c r="S82" i="4"/>
  <c r="T87" i="4"/>
  <c r="R93" i="4"/>
  <c r="S98" i="4"/>
  <c r="Z7" i="4"/>
  <c r="Z15" i="4"/>
  <c r="Z23" i="4"/>
  <c r="Z31" i="4"/>
  <c r="Z39" i="4"/>
  <c r="Z47" i="4"/>
  <c r="Z55" i="4"/>
  <c r="Z63" i="4"/>
  <c r="Z71" i="4"/>
  <c r="Z79" i="4"/>
  <c r="Z87" i="4"/>
  <c r="Z95" i="4"/>
  <c r="K6" i="4"/>
  <c r="K22" i="4"/>
  <c r="K38" i="4"/>
  <c r="K54" i="4"/>
  <c r="K70" i="4"/>
  <c r="K86" i="4"/>
  <c r="T2" i="4"/>
  <c r="R8" i="4"/>
  <c r="S13" i="4"/>
  <c r="T18" i="4"/>
  <c r="R24" i="4"/>
  <c r="S29" i="4"/>
  <c r="T34" i="4"/>
  <c r="R40" i="4"/>
  <c r="S45" i="4"/>
  <c r="T50" i="4"/>
  <c r="R56" i="4"/>
  <c r="S61" i="4"/>
  <c r="T66" i="4"/>
  <c r="R72" i="4"/>
  <c r="S77" i="4"/>
  <c r="T82" i="4"/>
  <c r="R88" i="4"/>
  <c r="S93" i="4"/>
  <c r="T98" i="4"/>
  <c r="Y8" i="4"/>
  <c r="Y16" i="4"/>
  <c r="Y24" i="4"/>
  <c r="Y32" i="4"/>
  <c r="Y40" i="4"/>
  <c r="Y48" i="4"/>
  <c r="Y56" i="4"/>
  <c r="Y64" i="4"/>
  <c r="Y72" i="4"/>
  <c r="Y80" i="4"/>
  <c r="Y88" i="4"/>
  <c r="Y96" i="4"/>
  <c r="K7" i="4"/>
  <c r="K23" i="4"/>
  <c r="K39" i="4"/>
  <c r="K55" i="4"/>
  <c r="K71" i="4"/>
  <c r="K87" i="4"/>
  <c r="R3" i="4"/>
  <c r="S8" i="4"/>
  <c r="T13" i="4"/>
  <c r="R19" i="4"/>
  <c r="S24" i="4"/>
  <c r="T29" i="4"/>
  <c r="R35" i="4"/>
  <c r="S40" i="4"/>
  <c r="T45" i="4"/>
  <c r="R51" i="4"/>
  <c r="S56" i="4"/>
  <c r="T61" i="4"/>
  <c r="R67" i="4"/>
  <c r="S72" i="4"/>
  <c r="T77" i="4"/>
  <c r="R83" i="4"/>
  <c r="S88" i="4"/>
  <c r="T93" i="4"/>
  <c r="R100" i="4"/>
  <c r="Z8" i="4"/>
  <c r="Z16" i="4"/>
  <c r="Z24" i="4"/>
  <c r="Z32" i="4"/>
  <c r="Z40" i="4"/>
  <c r="Z48" i="4"/>
  <c r="Z56" i="4"/>
  <c r="Z64" i="4"/>
  <c r="Z72" i="4"/>
  <c r="Z80" i="4"/>
  <c r="Z88" i="4"/>
  <c r="Z96" i="4"/>
  <c r="K99" i="4"/>
  <c r="K8" i="4"/>
  <c r="K24" i="4"/>
  <c r="K40" i="4"/>
  <c r="K56" i="4"/>
  <c r="K72" i="4"/>
  <c r="K88" i="4"/>
  <c r="S3" i="4"/>
  <c r="R14" i="4"/>
  <c r="S19" i="4"/>
  <c r="R30" i="4"/>
  <c r="S35" i="4"/>
  <c r="R46" i="4"/>
  <c r="S51" i="4"/>
  <c r="R62" i="4"/>
  <c r="S67" i="4"/>
  <c r="R78" i="4"/>
  <c r="S83" i="4"/>
  <c r="R94" i="4"/>
  <c r="S100" i="4"/>
  <c r="Y9" i="4"/>
  <c r="Y17" i="4"/>
  <c r="Y25" i="4"/>
  <c r="Y33" i="4"/>
  <c r="Y41" i="4"/>
  <c r="Y49" i="4"/>
  <c r="Y57" i="4"/>
  <c r="Y65" i="4"/>
  <c r="Y73" i="4"/>
  <c r="Y81" i="4"/>
  <c r="Y89" i="4"/>
  <c r="Y97" i="4"/>
  <c r="R99" i="4"/>
  <c r="K9" i="4"/>
  <c r="K25" i="4"/>
  <c r="K41" i="4"/>
  <c r="K57" i="4"/>
  <c r="K73" i="4"/>
  <c r="K89" i="4"/>
  <c r="T3" i="4"/>
  <c r="R9" i="4"/>
  <c r="S14" i="4"/>
  <c r="T19" i="4"/>
  <c r="R25" i="4"/>
  <c r="S30" i="4"/>
  <c r="T35" i="4"/>
  <c r="R41" i="4"/>
  <c r="S46" i="4"/>
  <c r="T51" i="4"/>
  <c r="R57" i="4"/>
  <c r="S62" i="4"/>
  <c r="T67" i="4"/>
  <c r="R73" i="4"/>
  <c r="S78" i="4"/>
  <c r="T83" i="4"/>
  <c r="R89" i="4"/>
  <c r="S94" i="4"/>
  <c r="T100" i="4"/>
  <c r="Z9" i="4"/>
  <c r="Z17" i="4"/>
  <c r="Z25" i="4"/>
  <c r="Z33" i="4"/>
  <c r="Z41" i="4"/>
  <c r="Z49" i="4"/>
  <c r="Z57" i="4"/>
  <c r="Z65" i="4"/>
  <c r="Z73" i="4"/>
  <c r="Z81" i="4"/>
  <c r="Z89" i="4"/>
  <c r="Z97" i="4"/>
  <c r="K10" i="4"/>
  <c r="K26" i="4"/>
  <c r="K42" i="4"/>
  <c r="K58" i="4"/>
  <c r="K74" i="4"/>
  <c r="K90" i="4"/>
  <c r="R4" i="4"/>
  <c r="S9" i="4"/>
  <c r="T14" i="4"/>
  <c r="R20" i="4"/>
  <c r="S25" i="4"/>
  <c r="T30" i="4"/>
  <c r="R36" i="4"/>
  <c r="S41" i="4"/>
  <c r="T46" i="4"/>
  <c r="R52" i="4"/>
  <c r="S57" i="4"/>
  <c r="T62" i="4"/>
  <c r="R68" i="4"/>
  <c r="S73" i="4"/>
  <c r="T78" i="4"/>
  <c r="R84" i="4"/>
  <c r="S89" i="4"/>
  <c r="T94" i="4"/>
  <c r="Y2" i="4"/>
  <c r="Y10" i="4"/>
  <c r="Y18" i="4"/>
  <c r="Y26" i="4"/>
  <c r="Y34" i="4"/>
  <c r="Y42" i="4"/>
  <c r="Y50" i="4"/>
  <c r="Y58" i="4"/>
  <c r="Y66" i="4"/>
  <c r="Y74" i="4"/>
  <c r="Y82" i="4"/>
  <c r="Y90" i="4"/>
  <c r="Y98" i="4"/>
  <c r="K11" i="4"/>
  <c r="K27" i="4"/>
  <c r="K43" i="4"/>
  <c r="K59" i="4"/>
  <c r="K75" i="4"/>
  <c r="K91" i="4"/>
  <c r="S4" i="4"/>
  <c r="R15" i="4"/>
  <c r="S20" i="4"/>
  <c r="R31" i="4"/>
  <c r="S36" i="4"/>
  <c r="R47" i="4"/>
  <c r="S52" i="4"/>
  <c r="R63" i="4"/>
  <c r="S68" i="4"/>
  <c r="R79" i="4"/>
  <c r="S84" i="4"/>
  <c r="R95" i="4"/>
  <c r="Z2" i="4"/>
  <c r="Z10" i="4"/>
  <c r="Z18" i="4"/>
  <c r="Z26" i="4"/>
  <c r="Z34" i="4"/>
  <c r="Z42" i="4"/>
  <c r="Z50" i="4"/>
  <c r="Z58" i="4"/>
  <c r="Z66" i="4"/>
  <c r="Z74" i="4"/>
  <c r="Z82" i="4"/>
  <c r="Z90" i="4"/>
  <c r="Z98" i="4"/>
  <c r="K12" i="4"/>
  <c r="K28" i="4"/>
  <c r="K44" i="4"/>
  <c r="K60" i="4"/>
  <c r="K76" i="4"/>
  <c r="K92" i="4"/>
  <c r="T4" i="4"/>
  <c r="R10" i="4"/>
  <c r="S15" i="4"/>
  <c r="T20" i="4"/>
  <c r="R26" i="4"/>
  <c r="S31" i="4"/>
  <c r="T36" i="4"/>
  <c r="R42" i="4"/>
  <c r="S47" i="4"/>
  <c r="T52" i="4"/>
  <c r="R58" i="4"/>
  <c r="S63" i="4"/>
  <c r="T68" i="4"/>
  <c r="R74" i="4"/>
  <c r="S79" i="4"/>
  <c r="T84" i="4"/>
  <c r="R90" i="4"/>
  <c r="S95" i="4"/>
  <c r="Y3" i="4"/>
  <c r="Y11" i="4"/>
  <c r="Y19" i="4"/>
  <c r="Y27" i="4"/>
  <c r="Y35" i="4"/>
  <c r="Y43" i="4"/>
  <c r="Y51" i="4"/>
  <c r="Y59" i="4"/>
  <c r="Y67" i="4"/>
  <c r="Y75" i="4"/>
  <c r="Y83" i="4"/>
  <c r="Y91" i="4"/>
  <c r="Y99" i="4"/>
  <c r="K13" i="4"/>
  <c r="K29" i="4"/>
  <c r="K45" i="4"/>
  <c r="K61" i="4"/>
  <c r="K77" i="4"/>
  <c r="K93" i="4"/>
  <c r="R5" i="4"/>
  <c r="S10" i="4"/>
  <c r="T15" i="4"/>
  <c r="R21" i="4"/>
  <c r="S26" i="4"/>
  <c r="T31" i="4"/>
  <c r="R37" i="4"/>
  <c r="S42" i="4"/>
  <c r="T47" i="4"/>
  <c r="R53" i="4"/>
  <c r="S58" i="4"/>
  <c r="T63" i="4"/>
  <c r="R69" i="4"/>
  <c r="S74" i="4"/>
  <c r="T79" i="4"/>
  <c r="R85" i="4"/>
  <c r="S90" i="4"/>
  <c r="T95" i="4"/>
  <c r="Z3" i="4"/>
  <c r="Z11" i="4"/>
  <c r="Z19" i="4"/>
  <c r="Z27" i="4"/>
  <c r="Z35" i="4"/>
  <c r="Z43" i="4"/>
  <c r="Z51" i="4"/>
  <c r="Z59" i="4"/>
  <c r="Z67" i="4"/>
  <c r="Z75" i="4"/>
  <c r="Z83" i="4"/>
  <c r="Z91" i="4"/>
  <c r="K14" i="4"/>
  <c r="K30" i="4"/>
  <c r="K46" i="4"/>
  <c r="K62" i="4"/>
  <c r="K78" i="4"/>
  <c r="K94" i="4"/>
  <c r="S5" i="4"/>
  <c r="R16" i="4"/>
  <c r="S21" i="4"/>
  <c r="R32" i="4"/>
  <c r="S37" i="4"/>
  <c r="R48" i="4"/>
  <c r="S53" i="4"/>
  <c r="R64" i="4"/>
  <c r="S69" i="4"/>
  <c r="R80" i="4"/>
  <c r="S85" i="4"/>
  <c r="R96" i="4"/>
  <c r="Y4" i="4"/>
  <c r="Y12" i="4"/>
  <c r="Y20" i="4"/>
  <c r="Y28" i="4"/>
  <c r="Y36" i="4"/>
  <c r="Y44" i="4"/>
  <c r="Y52" i="4"/>
  <c r="Y60" i="4"/>
  <c r="Y68" i="4"/>
  <c r="Y76" i="4"/>
  <c r="Y84" i="4"/>
  <c r="Y92" i="4"/>
  <c r="Y100" i="4"/>
  <c r="K15" i="4"/>
  <c r="K31" i="4"/>
  <c r="K47" i="4"/>
  <c r="K63" i="4"/>
  <c r="K79" i="4"/>
  <c r="K95" i="4"/>
  <c r="T5" i="4"/>
  <c r="R11" i="4"/>
  <c r="S16" i="4"/>
  <c r="T21" i="4"/>
  <c r="R27" i="4"/>
  <c r="S32" i="4"/>
  <c r="T37" i="4"/>
  <c r="R43" i="4"/>
  <c r="S48" i="4"/>
  <c r="T53" i="4"/>
  <c r="R59" i="4"/>
  <c r="S64" i="4"/>
  <c r="T69" i="4"/>
  <c r="R75" i="4"/>
  <c r="S80" i="4"/>
  <c r="T85" i="4"/>
  <c r="R91" i="4"/>
  <c r="S96" i="4"/>
  <c r="Z4" i="4"/>
  <c r="Z12" i="4"/>
  <c r="Z20" i="4"/>
  <c r="Z28" i="4"/>
  <c r="Z36" i="4"/>
  <c r="Z44" i="4"/>
  <c r="Z52" i="4"/>
  <c r="Z60" i="4"/>
  <c r="Z68" i="4"/>
  <c r="Z76" i="4"/>
  <c r="Z84" i="4"/>
  <c r="Z92" i="4"/>
  <c r="Z100" i="4"/>
  <c r="K16" i="4"/>
  <c r="K32" i="4"/>
  <c r="K48" i="4"/>
  <c r="K64" i="4"/>
  <c r="K80" i="4"/>
  <c r="K96" i="4"/>
  <c r="R6" i="4"/>
  <c r="S11" i="4"/>
  <c r="R22" i="4"/>
  <c r="S27" i="4"/>
  <c r="R38" i="4"/>
  <c r="S43" i="4"/>
  <c r="R54" i="4"/>
  <c r="S59" i="4"/>
  <c r="R70" i="4"/>
  <c r="S75" i="4"/>
  <c r="R86" i="4"/>
  <c r="S91" i="4"/>
  <c r="Y5" i="4"/>
  <c r="Y13" i="4"/>
  <c r="Y21" i="4"/>
  <c r="Y29" i="4"/>
  <c r="Y37" i="4"/>
  <c r="Y45" i="4"/>
  <c r="Y53" i="4"/>
  <c r="Y61" i="4"/>
  <c r="Y69" i="4"/>
  <c r="Y77" i="4"/>
  <c r="Y85" i="4"/>
  <c r="Y93" i="4"/>
  <c r="K17" i="4"/>
  <c r="K33" i="4"/>
  <c r="K49" i="4"/>
  <c r="K65" i="4"/>
  <c r="K81" i="4"/>
  <c r="K97" i="4"/>
  <c r="S6" i="4"/>
  <c r="R17" i="4"/>
  <c r="S22" i="4"/>
  <c r="R33" i="4"/>
  <c r="S38" i="4"/>
  <c r="R49" i="4"/>
  <c r="S54" i="4"/>
  <c r="R65" i="4"/>
  <c r="S70" i="4"/>
  <c r="R81" i="4"/>
  <c r="S86" i="4"/>
  <c r="R97" i="4"/>
  <c r="K2" i="4"/>
  <c r="K18" i="4"/>
  <c r="K34" i="4"/>
  <c r="K50" i="4"/>
  <c r="K66" i="4"/>
  <c r="K82" i="4"/>
  <c r="K98" i="4"/>
  <c r="T6" i="4"/>
  <c r="R12" i="4"/>
  <c r="S17" i="4"/>
  <c r="T22" i="4"/>
  <c r="R28" i="4"/>
  <c r="S33" i="4"/>
  <c r="T38" i="4"/>
  <c r="R44" i="4"/>
  <c r="S49" i="4"/>
  <c r="T54" i="4"/>
  <c r="R60" i="4"/>
  <c r="S65" i="4"/>
  <c r="T70" i="4"/>
  <c r="R76" i="4"/>
  <c r="S81" i="4"/>
  <c r="T86" i="4"/>
  <c r="R92" i="4"/>
  <c r="S97" i="4"/>
  <c r="Y6" i="4"/>
  <c r="Y14" i="4"/>
  <c r="Y22" i="4"/>
  <c r="Y30" i="4"/>
  <c r="Y38" i="4"/>
  <c r="Y46" i="4"/>
  <c r="Y54" i="4"/>
  <c r="Y62" i="4"/>
  <c r="Y70" i="4"/>
  <c r="Y78" i="4"/>
  <c r="Y86" i="4"/>
  <c r="Y94" i="4"/>
  <c r="R7" i="4"/>
  <c r="S12" i="4"/>
  <c r="R23" i="4"/>
  <c r="S28" i="4"/>
  <c r="R39" i="4"/>
  <c r="S44" i="4"/>
  <c r="R55" i="4"/>
  <c r="S60" i="4"/>
  <c r="R71" i="4"/>
  <c r="S76" i="4"/>
  <c r="R87" i="4"/>
  <c r="S92" i="4"/>
  <c r="S7" i="4"/>
  <c r="S23" i="4"/>
  <c r="S39" i="4"/>
  <c r="S55" i="4"/>
  <c r="S71" i="4"/>
  <c r="S87" i="4"/>
  <c r="S99" i="4"/>
  <c r="T99" i="4"/>
  <c r="F100" i="4" l="1"/>
  <c r="D100" i="4"/>
  <c r="F99" i="4"/>
  <c r="D99" i="4"/>
  <c r="U99" i="4" l="1"/>
  <c r="I99" i="4"/>
  <c r="X99" i="4"/>
  <c r="J99" i="4"/>
  <c r="N100" i="4"/>
  <c r="I100" i="4"/>
  <c r="X100" i="4"/>
  <c r="J100" i="4"/>
  <c r="O100" i="4"/>
  <c r="P100" i="4"/>
  <c r="Q100" i="4"/>
  <c r="W100" i="4"/>
  <c r="L99" i="4"/>
  <c r="V100" i="4"/>
  <c r="N99" i="4"/>
  <c r="U100" i="4"/>
  <c r="V99" i="4"/>
  <c r="P99" i="4"/>
  <c r="Q99" i="4"/>
  <c r="M99" i="4"/>
  <c r="L100" i="4"/>
  <c r="O99" i="4"/>
  <c r="M100" i="4"/>
  <c r="W99" i="4"/>
  <c r="BJ109" i="6"/>
  <c r="BI109" i="6"/>
  <c r="BH109" i="6"/>
  <c r="BG109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BJ108" i="6"/>
  <c r="BI108" i="6"/>
  <c r="BH108" i="6"/>
  <c r="BG108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BJ107" i="6"/>
  <c r="BI107" i="6"/>
  <c r="BH107" i="6"/>
  <c r="BG107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BJ106" i="6"/>
  <c r="BI106" i="6"/>
  <c r="BH106" i="6"/>
  <c r="BG106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BJ105" i="6"/>
  <c r="BI105" i="6"/>
  <c r="BH105" i="6"/>
  <c r="BG105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BJ104" i="6"/>
  <c r="BI104" i="6"/>
  <c r="BH104" i="6"/>
  <c r="BG104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BJ103" i="6"/>
  <c r="BI103" i="6"/>
  <c r="BH103" i="6"/>
  <c r="BG103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BJ101" i="6"/>
  <c r="BI101" i="6"/>
  <c r="BH101" i="6"/>
  <c r="BG101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BJ97" i="6"/>
  <c r="BI97" i="6"/>
  <c r="BH97" i="6"/>
  <c r="BG97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BJ96" i="6"/>
  <c r="BI96" i="6"/>
  <c r="BH96" i="6"/>
  <c r="BG96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BJ95" i="6"/>
  <c r="BI95" i="6"/>
  <c r="BH95" i="6"/>
  <c r="BG95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BJ94" i="6"/>
  <c r="BI94" i="6"/>
  <c r="BH94" i="6"/>
  <c r="BG94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BJ93" i="6"/>
  <c r="BI93" i="6"/>
  <c r="BH93" i="6"/>
  <c r="BG93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BJ89" i="6"/>
  <c r="BI89" i="6"/>
  <c r="BH89" i="6"/>
  <c r="BG89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BJ88" i="6"/>
  <c r="BI88" i="6"/>
  <c r="BH88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BJ86" i="6"/>
  <c r="BI86" i="6"/>
  <c r="BH86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BJ85" i="6"/>
  <c r="BI85" i="6"/>
  <c r="BH85" i="6"/>
  <c r="BG85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BJ83" i="6"/>
  <c r="BI83" i="6"/>
  <c r="BH83" i="6"/>
  <c r="BG83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BJ82" i="6"/>
  <c r="BI82" i="6"/>
  <c r="BH82" i="6"/>
  <c r="BG82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BJ80" i="6"/>
  <c r="BI80" i="6"/>
  <c r="BH80" i="6"/>
  <c r="BG80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BJ77" i="6"/>
  <c r="BI77" i="6"/>
  <c r="BH77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BJ76" i="6"/>
  <c r="BI76" i="6"/>
  <c r="BH76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BJ72" i="6"/>
  <c r="BI72" i="6"/>
  <c r="BH72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BJ70" i="6"/>
  <c r="BI70" i="6"/>
  <c r="BH70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2" i="6"/>
  <c r="AI1" i="6"/>
  <c r="F3" i="4" l="1"/>
  <c r="F4" i="4"/>
  <c r="F5" i="4"/>
  <c r="F6" i="4"/>
  <c r="X6" i="4" s="1"/>
  <c r="F7" i="4"/>
  <c r="F8" i="4"/>
  <c r="F9" i="4"/>
  <c r="F10" i="4"/>
  <c r="P10" i="4" s="1"/>
  <c r="F11" i="4"/>
  <c r="W11" i="4" s="1"/>
  <c r="F12" i="4"/>
  <c r="F13" i="4"/>
  <c r="F14" i="4"/>
  <c r="Q14" i="4" s="1"/>
  <c r="F15" i="4"/>
  <c r="W15" i="4" s="1"/>
  <c r="F16" i="4"/>
  <c r="J16" i="4" s="1"/>
  <c r="F17" i="4"/>
  <c r="F18" i="4"/>
  <c r="X18" i="4" s="1"/>
  <c r="F19" i="4"/>
  <c r="Q19" i="4" s="1"/>
  <c r="F20" i="4"/>
  <c r="F21" i="4"/>
  <c r="F22" i="4"/>
  <c r="X22" i="4" s="1"/>
  <c r="F23" i="4"/>
  <c r="P23" i="4" s="1"/>
  <c r="F24" i="4"/>
  <c r="F25" i="4"/>
  <c r="F26" i="4"/>
  <c r="X26" i="4" s="1"/>
  <c r="F27" i="4"/>
  <c r="Q27" i="4" s="1"/>
  <c r="F28" i="4"/>
  <c r="X28" i="4" s="1"/>
  <c r="F29" i="4"/>
  <c r="F30" i="4"/>
  <c r="X30" i="4" s="1"/>
  <c r="F31" i="4"/>
  <c r="Q31" i="4" s="1"/>
  <c r="F32" i="4"/>
  <c r="X32" i="4" s="1"/>
  <c r="F33" i="4"/>
  <c r="F34" i="4"/>
  <c r="J34" i="4" s="1"/>
  <c r="F35" i="4"/>
  <c r="J35" i="4" s="1"/>
  <c r="F36" i="4"/>
  <c r="O36" i="4" s="1"/>
  <c r="F37" i="4"/>
  <c r="F38" i="4"/>
  <c r="J38" i="4" s="1"/>
  <c r="F39" i="4"/>
  <c r="J39" i="4" s="1"/>
  <c r="F40" i="4"/>
  <c r="F41" i="4"/>
  <c r="F42" i="4"/>
  <c r="O42" i="4" s="1"/>
  <c r="F43" i="4"/>
  <c r="O43" i="4" s="1"/>
  <c r="F44" i="4"/>
  <c r="J44" i="4" s="1"/>
  <c r="F45" i="4"/>
  <c r="F46" i="4"/>
  <c r="O46" i="4" s="1"/>
  <c r="F47" i="4"/>
  <c r="O47" i="4" s="1"/>
  <c r="F48" i="4"/>
  <c r="O48" i="4" s="1"/>
  <c r="F49" i="4"/>
  <c r="F50" i="4"/>
  <c r="X50" i="4" s="1"/>
  <c r="F51" i="4"/>
  <c r="P51" i="4" s="1"/>
  <c r="F52" i="4"/>
  <c r="O52" i="4" s="1"/>
  <c r="F53" i="4"/>
  <c r="F54" i="4"/>
  <c r="J54" i="4" s="1"/>
  <c r="F55" i="4"/>
  <c r="J55" i="4" s="1"/>
  <c r="F56" i="4"/>
  <c r="O56" i="4" s="1"/>
  <c r="F57" i="4"/>
  <c r="F58" i="4"/>
  <c r="P58" i="4" s="1"/>
  <c r="F59" i="4"/>
  <c r="O59" i="4" s="1"/>
  <c r="F60" i="4"/>
  <c r="O60" i="4" s="1"/>
  <c r="F61" i="4"/>
  <c r="P61" i="4" s="1"/>
  <c r="F62" i="4"/>
  <c r="Q62" i="4" s="1"/>
  <c r="F63" i="4"/>
  <c r="F64" i="4"/>
  <c r="F65" i="4"/>
  <c r="F66" i="4"/>
  <c r="O66" i="4" s="1"/>
  <c r="F67" i="4"/>
  <c r="O67" i="4" s="1"/>
  <c r="F68" i="4"/>
  <c r="F69" i="4"/>
  <c r="F70" i="4"/>
  <c r="O70" i="4" s="1"/>
  <c r="F71" i="4"/>
  <c r="O71" i="4" s="1"/>
  <c r="F72" i="4"/>
  <c r="F73" i="4"/>
  <c r="F74" i="4"/>
  <c r="X74" i="4" s="1"/>
  <c r="F75" i="4"/>
  <c r="W75" i="4" s="1"/>
  <c r="F76" i="4"/>
  <c r="F77" i="4"/>
  <c r="F78" i="4"/>
  <c r="X78" i="4" s="1"/>
  <c r="F79" i="4"/>
  <c r="X79" i="4" s="1"/>
  <c r="F80" i="4"/>
  <c r="F81" i="4"/>
  <c r="W81" i="4" s="1"/>
  <c r="F82" i="4"/>
  <c r="Q82" i="4" s="1"/>
  <c r="F83" i="4"/>
  <c r="Q83" i="4" s="1"/>
  <c r="F84" i="4"/>
  <c r="O84" i="4" s="1"/>
  <c r="F85" i="4"/>
  <c r="P85" i="4" s="1"/>
  <c r="F86" i="4"/>
  <c r="Q86" i="4" s="1"/>
  <c r="F87" i="4"/>
  <c r="Q87" i="4" s="1"/>
  <c r="F88" i="4"/>
  <c r="O88" i="4" s="1"/>
  <c r="F89" i="4"/>
  <c r="P89" i="4" s="1"/>
  <c r="F90" i="4"/>
  <c r="Q90" i="4" s="1"/>
  <c r="F91" i="4"/>
  <c r="Q91" i="4" s="1"/>
  <c r="F92" i="4"/>
  <c r="O92" i="4" s="1"/>
  <c r="F93" i="4"/>
  <c r="W93" i="4" s="1"/>
  <c r="F94" i="4"/>
  <c r="Q94" i="4" s="1"/>
  <c r="F95" i="4"/>
  <c r="Q95" i="4" s="1"/>
  <c r="F96" i="4"/>
  <c r="O96" i="4" s="1"/>
  <c r="F97" i="4"/>
  <c r="P97" i="4" s="1"/>
  <c r="F98" i="4"/>
  <c r="Q98" i="4" s="1"/>
  <c r="F2" i="4"/>
  <c r="X2" i="4" s="1"/>
  <c r="D3" i="4"/>
  <c r="D4" i="4"/>
  <c r="D5" i="4"/>
  <c r="D6" i="4"/>
  <c r="D7" i="4"/>
  <c r="I7" i="4" s="1"/>
  <c r="D8" i="4"/>
  <c r="L8" i="4" s="1"/>
  <c r="D9" i="4"/>
  <c r="M9" i="4" s="1"/>
  <c r="D10" i="4"/>
  <c r="D11" i="4"/>
  <c r="D12" i="4"/>
  <c r="D13" i="4"/>
  <c r="M13" i="4" s="1"/>
  <c r="D14" i="4"/>
  <c r="D15" i="4"/>
  <c r="D16" i="4"/>
  <c r="I16" i="4" s="1"/>
  <c r="D17" i="4"/>
  <c r="D18" i="4"/>
  <c r="L18" i="4" s="1"/>
  <c r="D19" i="4"/>
  <c r="D20" i="4"/>
  <c r="D21" i="4"/>
  <c r="D22" i="4"/>
  <c r="M22" i="4" s="1"/>
  <c r="D23" i="4"/>
  <c r="D24" i="4"/>
  <c r="D25" i="4"/>
  <c r="D26" i="4"/>
  <c r="L26" i="4" s="1"/>
  <c r="D27" i="4"/>
  <c r="D28" i="4"/>
  <c r="D29" i="4"/>
  <c r="D30" i="4"/>
  <c r="L30" i="4" s="1"/>
  <c r="D31" i="4"/>
  <c r="D32" i="4"/>
  <c r="D33" i="4"/>
  <c r="V33" i="4" s="1"/>
  <c r="D34" i="4"/>
  <c r="N34" i="4" s="1"/>
  <c r="D35" i="4"/>
  <c r="D36" i="4"/>
  <c r="D37" i="4"/>
  <c r="I37" i="4" s="1"/>
  <c r="D38" i="4"/>
  <c r="N38" i="4" s="1"/>
  <c r="D39" i="4"/>
  <c r="I39" i="4" s="1"/>
  <c r="D40" i="4"/>
  <c r="D41" i="4"/>
  <c r="V41" i="4" s="1"/>
  <c r="D42" i="4"/>
  <c r="I42" i="4" s="1"/>
  <c r="D43" i="4"/>
  <c r="D44" i="4"/>
  <c r="V44" i="4" s="1"/>
  <c r="D45" i="4"/>
  <c r="V45" i="4" s="1"/>
  <c r="D46" i="4"/>
  <c r="I46" i="4" s="1"/>
  <c r="D47" i="4"/>
  <c r="D48" i="4"/>
  <c r="L48" i="4" s="1"/>
  <c r="D49" i="4"/>
  <c r="M49" i="4" s="1"/>
  <c r="D50" i="4"/>
  <c r="D51" i="4"/>
  <c r="L51" i="4" s="1"/>
  <c r="D52" i="4"/>
  <c r="D53" i="4"/>
  <c r="I53" i="4" s="1"/>
  <c r="D54" i="4"/>
  <c r="N54" i="4" s="1"/>
  <c r="D55" i="4"/>
  <c r="I55" i="4" s="1"/>
  <c r="D56" i="4"/>
  <c r="D57" i="4"/>
  <c r="L57" i="4" s="1"/>
  <c r="D58" i="4"/>
  <c r="L58" i="4" s="1"/>
  <c r="D59" i="4"/>
  <c r="D60" i="4"/>
  <c r="I60" i="4" s="1"/>
  <c r="D61" i="4"/>
  <c r="L61" i="4" s="1"/>
  <c r="D62" i="4"/>
  <c r="M62" i="4" s="1"/>
  <c r="D63" i="4"/>
  <c r="L63" i="4" s="1"/>
  <c r="D64" i="4"/>
  <c r="V64" i="4" s="1"/>
  <c r="D65" i="4"/>
  <c r="V65" i="4" s="1"/>
  <c r="D66" i="4"/>
  <c r="I66" i="4" s="1"/>
  <c r="D67" i="4"/>
  <c r="N67" i="4" s="1"/>
  <c r="D68" i="4"/>
  <c r="V68" i="4" s="1"/>
  <c r="D69" i="4"/>
  <c r="V69" i="4" s="1"/>
  <c r="D70" i="4"/>
  <c r="I70" i="4" s="1"/>
  <c r="D71" i="4"/>
  <c r="N71" i="4" s="1"/>
  <c r="D72" i="4"/>
  <c r="V72" i="4" s="1"/>
  <c r="D73" i="4"/>
  <c r="L73" i="4" s="1"/>
  <c r="D74" i="4"/>
  <c r="D75" i="4"/>
  <c r="D76" i="4"/>
  <c r="D77" i="4"/>
  <c r="L77" i="4" s="1"/>
  <c r="D78" i="4"/>
  <c r="D79" i="4"/>
  <c r="M79" i="4" s="1"/>
  <c r="D80" i="4"/>
  <c r="D81" i="4"/>
  <c r="M81" i="4" s="1"/>
  <c r="D82" i="4"/>
  <c r="M82" i="4" s="1"/>
  <c r="D83" i="4"/>
  <c r="L83" i="4" s="1"/>
  <c r="D84" i="4"/>
  <c r="D85" i="4"/>
  <c r="M85" i="4" s="1"/>
  <c r="D86" i="4"/>
  <c r="M86" i="4" s="1"/>
  <c r="D87" i="4"/>
  <c r="V87" i="4" s="1"/>
  <c r="D88" i="4"/>
  <c r="D89" i="4"/>
  <c r="M89" i="4" s="1"/>
  <c r="D90" i="4"/>
  <c r="M90" i="4" s="1"/>
  <c r="D91" i="4"/>
  <c r="L91" i="4" s="1"/>
  <c r="D92" i="4"/>
  <c r="D93" i="4"/>
  <c r="M93" i="4" s="1"/>
  <c r="D94" i="4"/>
  <c r="M94" i="4" s="1"/>
  <c r="D95" i="4"/>
  <c r="V95" i="4" s="1"/>
  <c r="D96" i="4"/>
  <c r="D97" i="4"/>
  <c r="M97" i="4" s="1"/>
  <c r="D98" i="4"/>
  <c r="M98" i="4" s="1"/>
  <c r="D2" i="4"/>
  <c r="V2" i="4" s="1"/>
  <c r="Q2" i="4" l="1"/>
  <c r="L93" i="4"/>
  <c r="O54" i="4"/>
  <c r="O38" i="4"/>
  <c r="X15" i="4"/>
  <c r="P14" i="4"/>
  <c r="P84" i="4"/>
  <c r="O91" i="4"/>
  <c r="V83" i="4"/>
  <c r="U70" i="4"/>
  <c r="U53" i="4"/>
  <c r="V37" i="4"/>
  <c r="W2" i="4"/>
  <c r="P90" i="4"/>
  <c r="W82" i="4"/>
  <c r="N69" i="4"/>
  <c r="L13" i="4"/>
  <c r="V97" i="4"/>
  <c r="J90" i="4"/>
  <c r="O82" i="4"/>
  <c r="N65" i="4"/>
  <c r="Q50" i="4"/>
  <c r="U33" i="4"/>
  <c r="Q10" i="4"/>
  <c r="P96" i="4"/>
  <c r="V89" i="4"/>
  <c r="J82" i="4"/>
  <c r="X62" i="4"/>
  <c r="L49" i="4"/>
  <c r="P31" i="4"/>
  <c r="L9" i="4"/>
  <c r="L95" i="4"/>
  <c r="P87" i="4"/>
  <c r="W79" i="4"/>
  <c r="L62" i="4"/>
  <c r="W6" i="4"/>
  <c r="W94" i="4"/>
  <c r="V86" i="4"/>
  <c r="P78" i="4"/>
  <c r="Q58" i="4"/>
  <c r="J46" i="4"/>
  <c r="Q23" i="4"/>
  <c r="O94" i="4"/>
  <c r="L86" i="4"/>
  <c r="P74" i="4"/>
  <c r="J42" i="4"/>
  <c r="L22" i="4"/>
  <c r="J91" i="4"/>
  <c r="L87" i="4"/>
  <c r="W85" i="4"/>
  <c r="O83" i="4"/>
  <c r="P27" i="4"/>
  <c r="J2" i="4"/>
  <c r="P98" i="4"/>
  <c r="V94" i="4"/>
  <c r="P92" i="4"/>
  <c r="W90" i="4"/>
  <c r="L89" i="4"/>
  <c r="J87" i="4"/>
  <c r="V85" i="4"/>
  <c r="M77" i="4"/>
  <c r="W62" i="4"/>
  <c r="Q51" i="4"/>
  <c r="V46" i="4"/>
  <c r="V42" i="4"/>
  <c r="U37" i="4"/>
  <c r="M26" i="4"/>
  <c r="M18" i="4"/>
  <c r="X11" i="4"/>
  <c r="V98" i="4"/>
  <c r="P19" i="4"/>
  <c r="L2" i="4"/>
  <c r="O98" i="4"/>
  <c r="W95" i="4"/>
  <c r="P94" i="4"/>
  <c r="V90" i="4"/>
  <c r="P88" i="4"/>
  <c r="W86" i="4"/>
  <c r="L85" i="4"/>
  <c r="J83" i="4"/>
  <c r="V81" i="4"/>
  <c r="V70" i="4"/>
  <c r="V66" i="4"/>
  <c r="U46" i="4"/>
  <c r="U42" i="4"/>
  <c r="O2" i="4"/>
  <c r="X75" i="4"/>
  <c r="P2" i="4"/>
  <c r="J98" i="4"/>
  <c r="P95" i="4"/>
  <c r="L94" i="4"/>
  <c r="V91" i="4"/>
  <c r="O90" i="4"/>
  <c r="W87" i="4"/>
  <c r="P86" i="4"/>
  <c r="V82" i="4"/>
  <c r="I81" i="4"/>
  <c r="J70" i="4"/>
  <c r="J66" i="4"/>
  <c r="L60" i="4"/>
  <c r="P50" i="4"/>
  <c r="M30" i="4"/>
  <c r="L98" i="4"/>
  <c r="W91" i="4"/>
  <c r="L81" i="4"/>
  <c r="U66" i="4"/>
  <c r="W97" i="4"/>
  <c r="O95" i="4"/>
  <c r="J94" i="4"/>
  <c r="P91" i="4"/>
  <c r="L90" i="4"/>
  <c r="O86" i="4"/>
  <c r="W83" i="4"/>
  <c r="P82" i="4"/>
  <c r="Q74" i="4"/>
  <c r="V53" i="4"/>
  <c r="N45" i="4"/>
  <c r="N41" i="4"/>
  <c r="O34" i="4"/>
  <c r="W98" i="4"/>
  <c r="L97" i="4"/>
  <c r="J95" i="4"/>
  <c r="V93" i="4"/>
  <c r="W89" i="4"/>
  <c r="O87" i="4"/>
  <c r="J86" i="4"/>
  <c r="P83" i="4"/>
  <c r="L82" i="4"/>
  <c r="Q78" i="4"/>
  <c r="M96" i="4"/>
  <c r="I96" i="4"/>
  <c r="N96" i="4"/>
  <c r="U96" i="4"/>
  <c r="M92" i="4"/>
  <c r="I92" i="4"/>
  <c r="N92" i="4"/>
  <c r="U92" i="4"/>
  <c r="M88" i="4"/>
  <c r="I88" i="4"/>
  <c r="N88" i="4"/>
  <c r="U88" i="4"/>
  <c r="M84" i="4"/>
  <c r="I84" i="4"/>
  <c r="N84" i="4"/>
  <c r="U84" i="4"/>
  <c r="I80" i="4"/>
  <c r="N80" i="4"/>
  <c r="U80" i="4"/>
  <c r="V80" i="4"/>
  <c r="L80" i="4"/>
  <c r="M80" i="4"/>
  <c r="L72" i="4"/>
  <c r="M72" i="4"/>
  <c r="N72" i="4"/>
  <c r="L68" i="4"/>
  <c r="M68" i="4"/>
  <c r="N68" i="4"/>
  <c r="L64" i="4"/>
  <c r="M64" i="4"/>
  <c r="N64" i="4"/>
  <c r="L56" i="4"/>
  <c r="M56" i="4"/>
  <c r="I56" i="4"/>
  <c r="U56" i="4"/>
  <c r="V56" i="4"/>
  <c r="L40" i="4"/>
  <c r="M40" i="4"/>
  <c r="N40" i="4"/>
  <c r="I40" i="4"/>
  <c r="U40" i="4"/>
  <c r="I32" i="4"/>
  <c r="N32" i="4"/>
  <c r="U32" i="4"/>
  <c r="V32" i="4"/>
  <c r="L32" i="4"/>
  <c r="M32" i="4"/>
  <c r="I20" i="4"/>
  <c r="N20" i="4"/>
  <c r="U20" i="4"/>
  <c r="V20" i="4"/>
  <c r="L20" i="4"/>
  <c r="M20" i="4"/>
  <c r="I12" i="4"/>
  <c r="N12" i="4"/>
  <c r="U12" i="4"/>
  <c r="V12" i="4"/>
  <c r="L12" i="4"/>
  <c r="M12" i="4"/>
  <c r="I4" i="4"/>
  <c r="N4" i="4"/>
  <c r="U4" i="4"/>
  <c r="V4" i="4"/>
  <c r="L4" i="4"/>
  <c r="Q93" i="4"/>
  <c r="X93" i="4"/>
  <c r="J81" i="4"/>
  <c r="Q81" i="4"/>
  <c r="X81" i="4"/>
  <c r="J77" i="4"/>
  <c r="O77" i="4"/>
  <c r="P77" i="4"/>
  <c r="Q77" i="4"/>
  <c r="P73" i="4"/>
  <c r="Q73" i="4"/>
  <c r="J73" i="4"/>
  <c r="O73" i="4"/>
  <c r="P69" i="4"/>
  <c r="W69" i="4"/>
  <c r="Q69" i="4"/>
  <c r="X69" i="4"/>
  <c r="J69" i="4"/>
  <c r="P65" i="4"/>
  <c r="W65" i="4"/>
  <c r="Q65" i="4"/>
  <c r="X65" i="4"/>
  <c r="J65" i="4"/>
  <c r="P57" i="4"/>
  <c r="Q57" i="4"/>
  <c r="W57" i="4"/>
  <c r="X57" i="4"/>
  <c r="P53" i="4"/>
  <c r="W53" i="4"/>
  <c r="Q53" i="4"/>
  <c r="X53" i="4"/>
  <c r="O53" i="4"/>
  <c r="P45" i="4"/>
  <c r="W45" i="4"/>
  <c r="Q45" i="4"/>
  <c r="X45" i="4"/>
  <c r="J45" i="4"/>
  <c r="P41" i="4"/>
  <c r="W41" i="4"/>
  <c r="Q41" i="4"/>
  <c r="X41" i="4"/>
  <c r="J41" i="4"/>
  <c r="J33" i="4"/>
  <c r="P33" i="4"/>
  <c r="W33" i="4"/>
  <c r="Q33" i="4"/>
  <c r="X33" i="4"/>
  <c r="O33" i="4"/>
  <c r="J29" i="4"/>
  <c r="O29" i="4"/>
  <c r="W29" i="4"/>
  <c r="X29" i="4"/>
  <c r="P29" i="4"/>
  <c r="Q29" i="4"/>
  <c r="J21" i="4"/>
  <c r="O21" i="4"/>
  <c r="W21" i="4"/>
  <c r="X21" i="4"/>
  <c r="P21" i="4"/>
  <c r="Q21" i="4"/>
  <c r="J17" i="4"/>
  <c r="O17" i="4"/>
  <c r="W17" i="4"/>
  <c r="X17" i="4"/>
  <c r="P17" i="4"/>
  <c r="Q17" i="4"/>
  <c r="J9" i="4"/>
  <c r="O9" i="4"/>
  <c r="P9" i="4"/>
  <c r="Q9" i="4"/>
  <c r="W9" i="4"/>
  <c r="X9" i="4"/>
  <c r="J5" i="4"/>
  <c r="O5" i="4"/>
  <c r="W5" i="4"/>
  <c r="X5" i="4"/>
  <c r="P5" i="4"/>
  <c r="U64" i="4"/>
  <c r="N56" i="4"/>
  <c r="V40" i="4"/>
  <c r="U2" i="4"/>
  <c r="N2" i="4"/>
  <c r="I2" i="4"/>
  <c r="M2" i="4"/>
  <c r="M95" i="4"/>
  <c r="I95" i="4"/>
  <c r="N95" i="4"/>
  <c r="U95" i="4"/>
  <c r="M91" i="4"/>
  <c r="I91" i="4"/>
  <c r="N91" i="4"/>
  <c r="U91" i="4"/>
  <c r="M83" i="4"/>
  <c r="I83" i="4"/>
  <c r="N83" i="4"/>
  <c r="U83" i="4"/>
  <c r="I75" i="4"/>
  <c r="N75" i="4"/>
  <c r="U75" i="4"/>
  <c r="V75" i="4"/>
  <c r="L67" i="4"/>
  <c r="M67" i="4"/>
  <c r="I67" i="4"/>
  <c r="U67" i="4"/>
  <c r="V67" i="4"/>
  <c r="L55" i="4"/>
  <c r="M55" i="4"/>
  <c r="N55" i="4"/>
  <c r="L47" i="4"/>
  <c r="M47" i="4"/>
  <c r="I47" i="4"/>
  <c r="U47" i="4"/>
  <c r="V47" i="4"/>
  <c r="N47" i="4"/>
  <c r="L43" i="4"/>
  <c r="M43" i="4"/>
  <c r="I43" i="4"/>
  <c r="U43" i="4"/>
  <c r="N43" i="4"/>
  <c r="V43" i="4"/>
  <c r="L35" i="4"/>
  <c r="M35" i="4"/>
  <c r="N35" i="4"/>
  <c r="I35" i="4"/>
  <c r="U35" i="4"/>
  <c r="I31" i="4"/>
  <c r="N31" i="4"/>
  <c r="U31" i="4"/>
  <c r="V31" i="4"/>
  <c r="L31" i="4"/>
  <c r="M31" i="4"/>
  <c r="I27" i="4"/>
  <c r="N27" i="4"/>
  <c r="U27" i="4"/>
  <c r="V27" i="4"/>
  <c r="L27" i="4"/>
  <c r="M27" i="4"/>
  <c r="I23" i="4"/>
  <c r="N23" i="4"/>
  <c r="U23" i="4"/>
  <c r="V23" i="4"/>
  <c r="L23" i="4"/>
  <c r="M23" i="4"/>
  <c r="I19" i="4"/>
  <c r="N19" i="4"/>
  <c r="U19" i="4"/>
  <c r="V19" i="4"/>
  <c r="L19" i="4"/>
  <c r="M19" i="4"/>
  <c r="I15" i="4"/>
  <c r="N15" i="4"/>
  <c r="U15" i="4"/>
  <c r="V15" i="4"/>
  <c r="L15" i="4"/>
  <c r="M15" i="4"/>
  <c r="I11" i="4"/>
  <c r="N11" i="4"/>
  <c r="U11" i="4"/>
  <c r="V11" i="4"/>
  <c r="L11" i="4"/>
  <c r="M11" i="4"/>
  <c r="I3" i="4"/>
  <c r="N3" i="4"/>
  <c r="U3" i="4"/>
  <c r="V3" i="4"/>
  <c r="L3" i="4"/>
  <c r="M3" i="4"/>
  <c r="Q96" i="4"/>
  <c r="X96" i="4"/>
  <c r="Q92" i="4"/>
  <c r="X92" i="4"/>
  <c r="Q88" i="4"/>
  <c r="X88" i="4"/>
  <c r="Q84" i="4"/>
  <c r="X84" i="4"/>
  <c r="J80" i="4"/>
  <c r="O80" i="4"/>
  <c r="W80" i="4"/>
  <c r="X80" i="4"/>
  <c r="J76" i="4"/>
  <c r="O76" i="4"/>
  <c r="W76" i="4"/>
  <c r="X76" i="4"/>
  <c r="P72" i="4"/>
  <c r="W72" i="4"/>
  <c r="Q72" i="4"/>
  <c r="X72" i="4"/>
  <c r="O72" i="4"/>
  <c r="P68" i="4"/>
  <c r="W68" i="4"/>
  <c r="Q68" i="4"/>
  <c r="X68" i="4"/>
  <c r="O68" i="4"/>
  <c r="P64" i="4"/>
  <c r="W64" i="4"/>
  <c r="Q64" i="4"/>
  <c r="X64" i="4"/>
  <c r="O64" i="4"/>
  <c r="P56" i="4"/>
  <c r="W56" i="4"/>
  <c r="Q56" i="4"/>
  <c r="X56" i="4"/>
  <c r="J56" i="4"/>
  <c r="P52" i="4"/>
  <c r="W52" i="4"/>
  <c r="Q52" i="4"/>
  <c r="X52" i="4"/>
  <c r="J52" i="4"/>
  <c r="P48" i="4"/>
  <c r="Q48" i="4"/>
  <c r="W48" i="4"/>
  <c r="J48" i="4"/>
  <c r="X48" i="4"/>
  <c r="P44" i="4"/>
  <c r="W44" i="4"/>
  <c r="Q44" i="4"/>
  <c r="X44" i="4"/>
  <c r="O44" i="4"/>
  <c r="P40" i="4"/>
  <c r="W40" i="4"/>
  <c r="Q40" i="4"/>
  <c r="X40" i="4"/>
  <c r="O40" i="4"/>
  <c r="P36" i="4"/>
  <c r="W36" i="4"/>
  <c r="Q36" i="4"/>
  <c r="X36" i="4"/>
  <c r="J36" i="4"/>
  <c r="J32" i="4"/>
  <c r="O32" i="4"/>
  <c r="P32" i="4"/>
  <c r="Q32" i="4"/>
  <c r="W32" i="4"/>
  <c r="J28" i="4"/>
  <c r="O28" i="4"/>
  <c r="P28" i="4"/>
  <c r="Q28" i="4"/>
  <c r="W28" i="4"/>
  <c r="J24" i="4"/>
  <c r="O24" i="4"/>
  <c r="P24" i="4"/>
  <c r="Q24" i="4"/>
  <c r="W24" i="4"/>
  <c r="J20" i="4"/>
  <c r="O20" i="4"/>
  <c r="P20" i="4"/>
  <c r="Q20" i="4"/>
  <c r="W20" i="4"/>
  <c r="J12" i="4"/>
  <c r="O12" i="4"/>
  <c r="W12" i="4"/>
  <c r="X12" i="4"/>
  <c r="P12" i="4"/>
  <c r="Q12" i="4"/>
  <c r="P8" i="4"/>
  <c r="Q8" i="4"/>
  <c r="W8" i="4"/>
  <c r="X8" i="4"/>
  <c r="J8" i="4"/>
  <c r="O8" i="4"/>
  <c r="J4" i="4"/>
  <c r="O4" i="4"/>
  <c r="P4" i="4"/>
  <c r="Q4" i="4"/>
  <c r="W4" i="4"/>
  <c r="X4" i="4"/>
  <c r="W96" i="4"/>
  <c r="L96" i="4"/>
  <c r="P93" i="4"/>
  <c r="W92" i="4"/>
  <c r="L92" i="4"/>
  <c r="W88" i="4"/>
  <c r="L88" i="4"/>
  <c r="W84" i="4"/>
  <c r="L84" i="4"/>
  <c r="P81" i="4"/>
  <c r="Q80" i="4"/>
  <c r="X77" i="4"/>
  <c r="Q76" i="4"/>
  <c r="M75" i="4"/>
  <c r="X73" i="4"/>
  <c r="J72" i="4"/>
  <c r="O69" i="4"/>
  <c r="J68" i="4"/>
  <c r="O65" i="4"/>
  <c r="J64" i="4"/>
  <c r="O57" i="4"/>
  <c r="V55" i="4"/>
  <c r="J53" i="4"/>
  <c r="O45" i="4"/>
  <c r="J40" i="4"/>
  <c r="V35" i="4"/>
  <c r="X24" i="4"/>
  <c r="Q5" i="4"/>
  <c r="I76" i="4"/>
  <c r="N76" i="4"/>
  <c r="U76" i="4"/>
  <c r="V76" i="4"/>
  <c r="L76" i="4"/>
  <c r="M76" i="4"/>
  <c r="M60" i="4"/>
  <c r="N60" i="4"/>
  <c r="U60" i="4"/>
  <c r="V60" i="4"/>
  <c r="L52" i="4"/>
  <c r="M52" i="4"/>
  <c r="I52" i="4"/>
  <c r="U52" i="4"/>
  <c r="N52" i="4"/>
  <c r="V52" i="4"/>
  <c r="L44" i="4"/>
  <c r="M44" i="4"/>
  <c r="N44" i="4"/>
  <c r="I44" i="4"/>
  <c r="U44" i="4"/>
  <c r="L36" i="4"/>
  <c r="M36" i="4"/>
  <c r="I36" i="4"/>
  <c r="U36" i="4"/>
  <c r="N36" i="4"/>
  <c r="V36" i="4"/>
  <c r="I28" i="4"/>
  <c r="N28" i="4"/>
  <c r="U28" i="4"/>
  <c r="V28" i="4"/>
  <c r="L28" i="4"/>
  <c r="M28" i="4"/>
  <c r="I24" i="4"/>
  <c r="N24" i="4"/>
  <c r="U24" i="4"/>
  <c r="V24" i="4"/>
  <c r="L24" i="4"/>
  <c r="M24" i="4"/>
  <c r="Q97" i="4"/>
  <c r="X97" i="4"/>
  <c r="Q89" i="4"/>
  <c r="X89" i="4"/>
  <c r="Q85" i="4"/>
  <c r="X85" i="4"/>
  <c r="J49" i="4"/>
  <c r="O49" i="4"/>
  <c r="P49" i="4"/>
  <c r="W49" i="4"/>
  <c r="Q49" i="4"/>
  <c r="P37" i="4"/>
  <c r="W37" i="4"/>
  <c r="Q37" i="4"/>
  <c r="X37" i="4"/>
  <c r="O37" i="4"/>
  <c r="J25" i="4"/>
  <c r="O25" i="4"/>
  <c r="W25" i="4"/>
  <c r="X25" i="4"/>
  <c r="P25" i="4"/>
  <c r="Q25" i="4"/>
  <c r="J13" i="4"/>
  <c r="O13" i="4"/>
  <c r="P13" i="4"/>
  <c r="Q13" i="4"/>
  <c r="W13" i="4"/>
  <c r="X13" i="4"/>
  <c r="J97" i="4"/>
  <c r="J93" i="4"/>
  <c r="J89" i="4"/>
  <c r="J85" i="4"/>
  <c r="U72" i="4"/>
  <c r="U68" i="4"/>
  <c r="X49" i="4"/>
  <c r="M87" i="4"/>
  <c r="I87" i="4"/>
  <c r="N87" i="4"/>
  <c r="U87" i="4"/>
  <c r="I79" i="4"/>
  <c r="N79" i="4"/>
  <c r="U79" i="4"/>
  <c r="V79" i="4"/>
  <c r="L71" i="4"/>
  <c r="M71" i="4"/>
  <c r="I71" i="4"/>
  <c r="U71" i="4"/>
  <c r="V71" i="4"/>
  <c r="L59" i="4"/>
  <c r="M59" i="4"/>
  <c r="I59" i="4"/>
  <c r="U59" i="4"/>
  <c r="V59" i="4"/>
  <c r="O97" i="4"/>
  <c r="V96" i="4"/>
  <c r="J96" i="4"/>
  <c r="O93" i="4"/>
  <c r="V92" i="4"/>
  <c r="J92" i="4"/>
  <c r="O89" i="4"/>
  <c r="V88" i="4"/>
  <c r="J88" i="4"/>
  <c r="O85" i="4"/>
  <c r="V84" i="4"/>
  <c r="J84" i="4"/>
  <c r="O81" i="4"/>
  <c r="P80" i="4"/>
  <c r="L79" i="4"/>
  <c r="W77" i="4"/>
  <c r="P76" i="4"/>
  <c r="L75" i="4"/>
  <c r="W73" i="4"/>
  <c r="I72" i="4"/>
  <c r="I68" i="4"/>
  <c r="I64" i="4"/>
  <c r="N59" i="4"/>
  <c r="J57" i="4"/>
  <c r="U55" i="4"/>
  <c r="O41" i="4"/>
  <c r="J37" i="4"/>
  <c r="X20" i="4"/>
  <c r="M4" i="4"/>
  <c r="I78" i="4"/>
  <c r="N78" i="4"/>
  <c r="U78" i="4"/>
  <c r="V78" i="4"/>
  <c r="I74" i="4"/>
  <c r="N74" i="4"/>
  <c r="U74" i="4"/>
  <c r="V74" i="4"/>
  <c r="I62" i="4"/>
  <c r="N62" i="4"/>
  <c r="U62" i="4"/>
  <c r="V62" i="4"/>
  <c r="L54" i="4"/>
  <c r="M54" i="4"/>
  <c r="I50" i="4"/>
  <c r="N50" i="4"/>
  <c r="U50" i="4"/>
  <c r="V50" i="4"/>
  <c r="L46" i="4"/>
  <c r="M46" i="4"/>
  <c r="L42" i="4"/>
  <c r="M42" i="4"/>
  <c r="L38" i="4"/>
  <c r="M38" i="4"/>
  <c r="L34" i="4"/>
  <c r="M34" i="4"/>
  <c r="I30" i="4"/>
  <c r="N30" i="4"/>
  <c r="U30" i="4"/>
  <c r="V30" i="4"/>
  <c r="I26" i="4"/>
  <c r="N26" i="4"/>
  <c r="U26" i="4"/>
  <c r="V26" i="4"/>
  <c r="I22" i="4"/>
  <c r="N22" i="4"/>
  <c r="U22" i="4"/>
  <c r="V22" i="4"/>
  <c r="I18" i="4"/>
  <c r="N18" i="4"/>
  <c r="U18" i="4"/>
  <c r="V18" i="4"/>
  <c r="I14" i="4"/>
  <c r="N14" i="4"/>
  <c r="U14" i="4"/>
  <c r="V14" i="4"/>
  <c r="L14" i="4"/>
  <c r="M14" i="4"/>
  <c r="I10" i="4"/>
  <c r="N10" i="4"/>
  <c r="U10" i="4"/>
  <c r="V10" i="4"/>
  <c r="L10" i="4"/>
  <c r="M10" i="4"/>
  <c r="I6" i="4"/>
  <c r="N6" i="4"/>
  <c r="U6" i="4"/>
  <c r="V6" i="4"/>
  <c r="J79" i="4"/>
  <c r="O79" i="4"/>
  <c r="J75" i="4"/>
  <c r="O75" i="4"/>
  <c r="P71" i="4"/>
  <c r="W71" i="4"/>
  <c r="Q71" i="4"/>
  <c r="X71" i="4"/>
  <c r="P67" i="4"/>
  <c r="W67" i="4"/>
  <c r="Q67" i="4"/>
  <c r="X67" i="4"/>
  <c r="J63" i="4"/>
  <c r="W63" i="4"/>
  <c r="O63" i="4"/>
  <c r="X63" i="4"/>
  <c r="P59" i="4"/>
  <c r="W59" i="4"/>
  <c r="Q59" i="4"/>
  <c r="X59" i="4"/>
  <c r="P55" i="4"/>
  <c r="W55" i="4"/>
  <c r="Q55" i="4"/>
  <c r="X55" i="4"/>
  <c r="J51" i="4"/>
  <c r="W51" i="4"/>
  <c r="O51" i="4"/>
  <c r="X51" i="4"/>
  <c r="P47" i="4"/>
  <c r="W47" i="4"/>
  <c r="Q47" i="4"/>
  <c r="X47" i="4"/>
  <c r="P43" i="4"/>
  <c r="W43" i="4"/>
  <c r="Q43" i="4"/>
  <c r="X43" i="4"/>
  <c r="P35" i="4"/>
  <c r="W35" i="4"/>
  <c r="Q35" i="4"/>
  <c r="X35" i="4"/>
  <c r="J31" i="4"/>
  <c r="O31" i="4"/>
  <c r="W31" i="4"/>
  <c r="X31" i="4"/>
  <c r="J27" i="4"/>
  <c r="O27" i="4"/>
  <c r="W27" i="4"/>
  <c r="X27" i="4"/>
  <c r="J23" i="4"/>
  <c r="O23" i="4"/>
  <c r="W23" i="4"/>
  <c r="X23" i="4"/>
  <c r="J19" i="4"/>
  <c r="O19" i="4"/>
  <c r="W19" i="4"/>
  <c r="X19" i="4"/>
  <c r="J15" i="4"/>
  <c r="O15" i="4"/>
  <c r="P15" i="4"/>
  <c r="Q15" i="4"/>
  <c r="J11" i="4"/>
  <c r="O11" i="4"/>
  <c r="P11" i="4"/>
  <c r="Q11" i="4"/>
  <c r="J7" i="4"/>
  <c r="W7" i="4"/>
  <c r="O7" i="4"/>
  <c r="X7" i="4"/>
  <c r="P7" i="4"/>
  <c r="Q7" i="4"/>
  <c r="J3" i="4"/>
  <c r="O3" i="4"/>
  <c r="W3" i="4"/>
  <c r="X3" i="4"/>
  <c r="U98" i="4"/>
  <c r="N98" i="4"/>
  <c r="I98" i="4"/>
  <c r="U97" i="4"/>
  <c r="N97" i="4"/>
  <c r="I97" i="4"/>
  <c r="U94" i="4"/>
  <c r="N94" i="4"/>
  <c r="I94" i="4"/>
  <c r="U93" i="4"/>
  <c r="N93" i="4"/>
  <c r="I93" i="4"/>
  <c r="U90" i="4"/>
  <c r="N90" i="4"/>
  <c r="I90" i="4"/>
  <c r="U89" i="4"/>
  <c r="N89" i="4"/>
  <c r="I89" i="4"/>
  <c r="U86" i="4"/>
  <c r="N86" i="4"/>
  <c r="I86" i="4"/>
  <c r="U85" i="4"/>
  <c r="N85" i="4"/>
  <c r="I85" i="4"/>
  <c r="U82" i="4"/>
  <c r="N82" i="4"/>
  <c r="I82" i="4"/>
  <c r="U81" i="4"/>
  <c r="N81" i="4"/>
  <c r="Q79" i="4"/>
  <c r="M78" i="4"/>
  <c r="Q75" i="4"/>
  <c r="M74" i="4"/>
  <c r="J71" i="4"/>
  <c r="J67" i="4"/>
  <c r="Q63" i="4"/>
  <c r="J59" i="4"/>
  <c r="O55" i="4"/>
  <c r="V54" i="4"/>
  <c r="M50" i="4"/>
  <c r="J47" i="4"/>
  <c r="J43" i="4"/>
  <c r="V38" i="4"/>
  <c r="O35" i="4"/>
  <c r="V34" i="4"/>
  <c r="M6" i="4"/>
  <c r="Q3" i="4"/>
  <c r="L70" i="4"/>
  <c r="M70" i="4"/>
  <c r="L66" i="4"/>
  <c r="M66" i="4"/>
  <c r="I77" i="4"/>
  <c r="N77" i="4"/>
  <c r="U77" i="4"/>
  <c r="V77" i="4"/>
  <c r="L69" i="4"/>
  <c r="M69" i="4"/>
  <c r="L65" i="4"/>
  <c r="M65" i="4"/>
  <c r="L53" i="4"/>
  <c r="M53" i="4"/>
  <c r="I49" i="4"/>
  <c r="N49" i="4"/>
  <c r="U49" i="4"/>
  <c r="V49" i="4"/>
  <c r="L45" i="4"/>
  <c r="M45" i="4"/>
  <c r="L41" i="4"/>
  <c r="M41" i="4"/>
  <c r="L37" i="4"/>
  <c r="M37" i="4"/>
  <c r="I33" i="4"/>
  <c r="L33" i="4"/>
  <c r="M33" i="4"/>
  <c r="I29" i="4"/>
  <c r="N29" i="4"/>
  <c r="U29" i="4"/>
  <c r="V29" i="4"/>
  <c r="L29" i="4"/>
  <c r="M29" i="4"/>
  <c r="I25" i="4"/>
  <c r="N25" i="4"/>
  <c r="U25" i="4"/>
  <c r="V25" i="4"/>
  <c r="L25" i="4"/>
  <c r="M25" i="4"/>
  <c r="I21" i="4"/>
  <c r="N21" i="4"/>
  <c r="U21" i="4"/>
  <c r="V21" i="4"/>
  <c r="L21" i="4"/>
  <c r="M21" i="4"/>
  <c r="I17" i="4"/>
  <c r="N17" i="4"/>
  <c r="U17" i="4"/>
  <c r="V17" i="4"/>
  <c r="L17" i="4"/>
  <c r="M17" i="4"/>
  <c r="I13" i="4"/>
  <c r="N13" i="4"/>
  <c r="U13" i="4"/>
  <c r="V13" i="4"/>
  <c r="I9" i="4"/>
  <c r="N9" i="4"/>
  <c r="U9" i="4"/>
  <c r="V9" i="4"/>
  <c r="I5" i="4"/>
  <c r="N5" i="4"/>
  <c r="U5" i="4"/>
  <c r="V5" i="4"/>
  <c r="L5" i="4"/>
  <c r="M5" i="4"/>
  <c r="J78" i="4"/>
  <c r="O78" i="4"/>
  <c r="J74" i="4"/>
  <c r="O74" i="4"/>
  <c r="P70" i="4"/>
  <c r="W70" i="4"/>
  <c r="Q70" i="4"/>
  <c r="X70" i="4"/>
  <c r="P66" i="4"/>
  <c r="W66" i="4"/>
  <c r="Q66" i="4"/>
  <c r="X66" i="4"/>
  <c r="J62" i="4"/>
  <c r="O62" i="4"/>
  <c r="J58" i="4"/>
  <c r="W58" i="4"/>
  <c r="O58" i="4"/>
  <c r="X58" i="4"/>
  <c r="P54" i="4"/>
  <c r="W54" i="4"/>
  <c r="Q54" i="4"/>
  <c r="X54" i="4"/>
  <c r="J50" i="4"/>
  <c r="O50" i="4"/>
  <c r="P46" i="4"/>
  <c r="W46" i="4"/>
  <c r="Q46" i="4"/>
  <c r="X46" i="4"/>
  <c r="P42" i="4"/>
  <c r="W42" i="4"/>
  <c r="Q42" i="4"/>
  <c r="X42" i="4"/>
  <c r="P38" i="4"/>
  <c r="W38" i="4"/>
  <c r="Q38" i="4"/>
  <c r="X38" i="4"/>
  <c r="P34" i="4"/>
  <c r="W34" i="4"/>
  <c r="Q34" i="4"/>
  <c r="X34" i="4"/>
  <c r="J30" i="4"/>
  <c r="O30" i="4"/>
  <c r="P30" i="4"/>
  <c r="Q30" i="4"/>
  <c r="J26" i="4"/>
  <c r="O26" i="4"/>
  <c r="P26" i="4"/>
  <c r="Q26" i="4"/>
  <c r="J22" i="4"/>
  <c r="O22" i="4"/>
  <c r="P22" i="4"/>
  <c r="Q22" i="4"/>
  <c r="J18" i="4"/>
  <c r="O18" i="4"/>
  <c r="P18" i="4"/>
  <c r="Q18" i="4"/>
  <c r="J14" i="4"/>
  <c r="O14" i="4"/>
  <c r="W14" i="4"/>
  <c r="X14" i="4"/>
  <c r="J10" i="4"/>
  <c r="O10" i="4"/>
  <c r="W10" i="4"/>
  <c r="X10" i="4"/>
  <c r="J6" i="4"/>
  <c r="O6" i="4"/>
  <c r="P6" i="4"/>
  <c r="Q6" i="4"/>
  <c r="X98" i="4"/>
  <c r="X95" i="4"/>
  <c r="X94" i="4"/>
  <c r="X91" i="4"/>
  <c r="X90" i="4"/>
  <c r="X87" i="4"/>
  <c r="X86" i="4"/>
  <c r="X83" i="4"/>
  <c r="X82" i="4"/>
  <c r="P79" i="4"/>
  <c r="W78" i="4"/>
  <c r="L78" i="4"/>
  <c r="P75" i="4"/>
  <c r="W74" i="4"/>
  <c r="L74" i="4"/>
  <c r="N70" i="4"/>
  <c r="U69" i="4"/>
  <c r="I69" i="4"/>
  <c r="N66" i="4"/>
  <c r="U65" i="4"/>
  <c r="I65" i="4"/>
  <c r="P63" i="4"/>
  <c r="P62" i="4"/>
  <c r="U54" i="4"/>
  <c r="I54" i="4"/>
  <c r="N53" i="4"/>
  <c r="W50" i="4"/>
  <c r="L50" i="4"/>
  <c r="N46" i="4"/>
  <c r="U45" i="4"/>
  <c r="I45" i="4"/>
  <c r="N42" i="4"/>
  <c r="U41" i="4"/>
  <c r="I41" i="4"/>
  <c r="U38" i="4"/>
  <c r="I38" i="4"/>
  <c r="N37" i="4"/>
  <c r="U34" i="4"/>
  <c r="I34" i="4"/>
  <c r="N33" i="4"/>
  <c r="W30" i="4"/>
  <c r="W26" i="4"/>
  <c r="W22" i="4"/>
  <c r="W18" i="4"/>
  <c r="L6" i="4"/>
  <c r="P3" i="4"/>
  <c r="V63" i="4"/>
  <c r="U63" i="4"/>
  <c r="N63" i="4"/>
  <c r="I63" i="4"/>
  <c r="M63" i="4"/>
  <c r="X61" i="4"/>
  <c r="O61" i="4"/>
  <c r="W61" i="4"/>
  <c r="J61" i="4"/>
  <c r="Q61" i="4"/>
  <c r="V61" i="4"/>
  <c r="U61" i="4"/>
  <c r="N61" i="4"/>
  <c r="I61" i="4"/>
  <c r="M61" i="4"/>
  <c r="X60" i="4"/>
  <c r="Q60" i="4"/>
  <c r="W60" i="4"/>
  <c r="P60" i="4"/>
  <c r="J60" i="4"/>
  <c r="Q16" i="4"/>
  <c r="P16" i="4"/>
  <c r="X16" i="4"/>
  <c r="O16" i="4"/>
  <c r="W16" i="4"/>
  <c r="V48" i="4"/>
  <c r="U48" i="4"/>
  <c r="N48" i="4"/>
  <c r="I48" i="4"/>
  <c r="M48" i="4"/>
  <c r="V51" i="4"/>
  <c r="U51" i="4"/>
  <c r="N51" i="4"/>
  <c r="I51" i="4"/>
  <c r="M51" i="4"/>
  <c r="V58" i="4"/>
  <c r="V57" i="4"/>
  <c r="U58" i="4"/>
  <c r="N58" i="4"/>
  <c r="I58" i="4"/>
  <c r="U57" i="4"/>
  <c r="N57" i="4"/>
  <c r="I57" i="4"/>
  <c r="M58" i="4"/>
  <c r="M57" i="4"/>
  <c r="M16" i="4"/>
  <c r="L16" i="4"/>
  <c r="V16" i="4"/>
  <c r="U16" i="4"/>
  <c r="N16" i="4"/>
  <c r="V8" i="4"/>
  <c r="U8" i="4"/>
  <c r="N8" i="4"/>
  <c r="I8" i="4"/>
  <c r="M8" i="4"/>
  <c r="V73" i="4"/>
  <c r="M73" i="4"/>
  <c r="U73" i="4"/>
  <c r="N73" i="4"/>
  <c r="I73" i="4"/>
  <c r="M7" i="4"/>
  <c r="L7" i="4"/>
  <c r="V7" i="4"/>
  <c r="U7" i="4"/>
  <c r="N7" i="4"/>
  <c r="O39" i="4"/>
  <c r="Q39" i="4"/>
  <c r="P39" i="4"/>
  <c r="X39" i="4"/>
  <c r="W39" i="4"/>
  <c r="M39" i="4"/>
  <c r="L39" i="4"/>
  <c r="V39" i="4"/>
  <c r="U39" i="4"/>
  <c r="N39" i="4"/>
</calcChain>
</file>

<file path=xl/sharedStrings.xml><?xml version="1.0" encoding="utf-8"?>
<sst xmlns="http://schemas.openxmlformats.org/spreadsheetml/2006/main" count="1356" uniqueCount="580">
  <si>
    <t>typ_18599</t>
  </si>
  <si>
    <t>nr_18599</t>
  </si>
  <si>
    <t>Bettenzimmer</t>
  </si>
  <si>
    <t>Sterne-Hotel</t>
  </si>
  <si>
    <t>Mensa/Kantine</t>
  </si>
  <si>
    <t>2.8</t>
  </si>
  <si>
    <t>7.1</t>
  </si>
  <si>
    <t>Gebäude für Forschung und Hochschullehre</t>
  </si>
  <si>
    <t>Gebäude für Kultur und Freizeit</t>
  </si>
  <si>
    <t>Freizeit-, Gemeinschafts-, Bürgerhaus</t>
  </si>
  <si>
    <t>Spielkasino, -bank, -halle</t>
  </si>
  <si>
    <t>Sportgebäude</t>
  </si>
  <si>
    <t>Schwimmhalle</t>
  </si>
  <si>
    <t>Fitnessstudio</t>
  </si>
  <si>
    <t>Fitnessraum</t>
  </si>
  <si>
    <t>Gebäude für Gesundheit und Pflege</t>
  </si>
  <si>
    <t>22.2</t>
  </si>
  <si>
    <t>Rechenzentrum</t>
  </si>
  <si>
    <t>Handelsgebäude</t>
  </si>
  <si>
    <t>Schalterhalle</t>
  </si>
  <si>
    <t>1.5</t>
  </si>
  <si>
    <t>9.5</t>
  </si>
  <si>
    <t>Markthalle</t>
  </si>
  <si>
    <t>Messehalle</t>
  </si>
  <si>
    <t>Verkehrsgebäude</t>
  </si>
  <si>
    <t>0.5</t>
  </si>
  <si>
    <t>Technikgebäude (Ver- und Entsorgung)</t>
  </si>
  <si>
    <t>Gebäude für Wasserversorgung</t>
  </si>
  <si>
    <t>Gebäude für Abwasserbehandlung</t>
  </si>
  <si>
    <t>Gebäude für Abfallbehandlung</t>
  </si>
  <si>
    <t>4.2</t>
  </si>
  <si>
    <t>18.8</t>
  </si>
  <si>
    <t>4.1</t>
  </si>
  <si>
    <t>22.3</t>
  </si>
  <si>
    <t>gain_per_person_18599</t>
  </si>
  <si>
    <t>appliance_gains_tief_18599</t>
  </si>
  <si>
    <t>appliance_gains_mittel_18599</t>
  </si>
  <si>
    <t>appliance_gains_hoch_18599</t>
  </si>
  <si>
    <t>typ_sia2024</t>
  </si>
  <si>
    <t>nr_sia2024</t>
  </si>
  <si>
    <t>gain_per_person_sia2024</t>
  </si>
  <si>
    <t>appliance_gains_standard_sia2024</t>
  </si>
  <si>
    <t>appliance_gains_bestand_sia2024</t>
  </si>
  <si>
    <t>Hotelzimmer</t>
  </si>
  <si>
    <t>2.1</t>
  </si>
  <si>
    <t>Restaurant</t>
  </si>
  <si>
    <t>6.1</t>
  </si>
  <si>
    <t>Selbstbedienungsrestaurant</t>
  </si>
  <si>
    <t>6.2</t>
  </si>
  <si>
    <t>Großraumbüro</t>
  </si>
  <si>
    <t>3.2</t>
  </si>
  <si>
    <t>Einzel-, Gruppenbüro</t>
  </si>
  <si>
    <t>3.1</t>
  </si>
  <si>
    <t>Schulzimmer</t>
  </si>
  <si>
    <t>Hörsaal</t>
  </si>
  <si>
    <t>4.4</t>
  </si>
  <si>
    <t>Bibliothek</t>
  </si>
  <si>
    <t>4.3</t>
  </si>
  <si>
    <t>Ausstellungshalle</t>
  </si>
  <si>
    <t>7.3</t>
  </si>
  <si>
    <t>Vorstellungsraum</t>
  </si>
  <si>
    <t>Nebenraum</t>
  </si>
  <si>
    <t>12.4</t>
  </si>
  <si>
    <t>Turnhalle</t>
  </si>
  <si>
    <t>11.1</t>
  </si>
  <si>
    <t>11.3</t>
  </si>
  <si>
    <t>11.2</t>
  </si>
  <si>
    <t>Garderobe, Dusche</t>
  </si>
  <si>
    <t>12.8</t>
  </si>
  <si>
    <t>Behandlungsraum</t>
  </si>
  <si>
    <t>8.3</t>
  </si>
  <si>
    <t>Produktion (grobe Arbeit)</t>
  </si>
  <si>
    <t>9.1</t>
  </si>
  <si>
    <t>Lagerhalle</t>
  </si>
  <si>
    <t>10.1</t>
  </si>
  <si>
    <t>Serverraum</t>
  </si>
  <si>
    <t>12.12</t>
  </si>
  <si>
    <t>Produktion (feine Arbeit)</t>
  </si>
  <si>
    <t>9.2</t>
  </si>
  <si>
    <t>Lebensmittelverkauf</t>
  </si>
  <si>
    <t>5.1</t>
  </si>
  <si>
    <t>Verkauf Möbel, Bau, Garten</t>
  </si>
  <si>
    <t>5.3</t>
  </si>
  <si>
    <t>Fachgeschäft</t>
  </si>
  <si>
    <t>5.2</t>
  </si>
  <si>
    <t>Parkhaus</t>
  </si>
  <si>
    <t>12.9</t>
  </si>
  <si>
    <t>Schalterhalle, Empfang</t>
  </si>
  <si>
    <t>3.4</t>
  </si>
  <si>
    <t>Nr.</t>
  </si>
  <si>
    <t>Einzelbüro</t>
  </si>
  <si>
    <t>2</t>
  </si>
  <si>
    <t>Gruppenbüro (2 bis 6 Arbeitsplätze)</t>
  </si>
  <si>
    <t>3</t>
  </si>
  <si>
    <t>Großraumbüro (ab 7 Arbeitsplätze)</t>
  </si>
  <si>
    <t>4</t>
  </si>
  <si>
    <t>Besprechung/Sitzungszimmer/Seminar</t>
  </si>
  <si>
    <t>5</t>
  </si>
  <si>
    <t>6</t>
  </si>
  <si>
    <t>Einzelhandel/Kaufhaus</t>
  </si>
  <si>
    <t>7</t>
  </si>
  <si>
    <t>Einzelhandel/Kaufhaus (Lebensmittelabteilung mit Kühlprodukten)</t>
  </si>
  <si>
    <t>8</t>
  </si>
  <si>
    <t>9</t>
  </si>
  <si>
    <t>Hörsaal, Auditorium</t>
  </si>
  <si>
    <t>10</t>
  </si>
  <si>
    <t>Bettenzimmer (Zweibettzimmer im Krankenhaus, Pflegeheim)</t>
  </si>
  <si>
    <t>11</t>
  </si>
  <si>
    <t>Hotelzimmer (Doppelzimmer)</t>
  </si>
  <si>
    <t>12</t>
  </si>
  <si>
    <t>Bezeichnung</t>
  </si>
  <si>
    <t>Kantine (Kantine)</t>
  </si>
  <si>
    <t>Kantine (Restaurant)</t>
  </si>
  <si>
    <t>13</t>
  </si>
  <si>
    <t>14</t>
  </si>
  <si>
    <t>Küche in Nichtwohngebäuden</t>
  </si>
  <si>
    <t>15</t>
  </si>
  <si>
    <t>Küche (Vorbereitung, Lager)</t>
  </si>
  <si>
    <t>16</t>
  </si>
  <si>
    <t>WC und Sanitärräume in Nichtwohngebäuden</t>
  </si>
  <si>
    <t>17</t>
  </si>
  <si>
    <t>Sonstige Aufenthaltsräume (Pausenraum, Wartezimmer)</t>
  </si>
  <si>
    <t>18</t>
  </si>
  <si>
    <t>Sonstige Aufenthaltsräume (Garderobe, Teeküche, Lager, Archiv, Flur)</t>
  </si>
  <si>
    <t>19</t>
  </si>
  <si>
    <t>Verkehrsfläche (Flur)</t>
  </si>
  <si>
    <t>20</t>
  </si>
  <si>
    <t>Lager (Technik, Archiv)</t>
  </si>
  <si>
    <t>21</t>
  </si>
  <si>
    <t>22.1</t>
  </si>
  <si>
    <t>Gewerbliche und industrielle Hallen (schwere Arbeit, stehende Tätigkeit)</t>
  </si>
  <si>
    <t>Gewerbliche und industrielle Hallen (mittelschwere Arbeit, überw. stehende Tätigkeit)</t>
  </si>
  <si>
    <t>Gewerbliche und industrielle Hallen (leichte Arbeit, überw. sitzende Tätigkeit)</t>
  </si>
  <si>
    <t>23</t>
  </si>
  <si>
    <t>Zuschauerbereich (Theater, Veranstaltungsbauten)</t>
  </si>
  <si>
    <t>24</t>
  </si>
  <si>
    <t>Theater (Foyer)</t>
  </si>
  <si>
    <t>25</t>
  </si>
  <si>
    <t>26</t>
  </si>
  <si>
    <t>Messe/Kongress</t>
  </si>
  <si>
    <t>27</t>
  </si>
  <si>
    <t>Ausstellungsräume, Museum</t>
  </si>
  <si>
    <t>28</t>
  </si>
  <si>
    <t>Bibliothek - Lesesaal</t>
  </si>
  <si>
    <t>Bibliothek - Freihandbereich</t>
  </si>
  <si>
    <t>Bibliothek - Magazin und Depot</t>
  </si>
  <si>
    <t>Turnhalle (ohne Zuschauerbereich)</t>
  </si>
  <si>
    <t>29</t>
  </si>
  <si>
    <t>30</t>
  </si>
  <si>
    <t>31</t>
  </si>
  <si>
    <t>32</t>
  </si>
  <si>
    <t>Parkhaus (Büro- und Privatnutzung)</t>
  </si>
  <si>
    <t>Parkhaus (öffentliche Nutzung)</t>
  </si>
  <si>
    <t>Saunabereich</t>
  </si>
  <si>
    <t>Labor</t>
  </si>
  <si>
    <t>Fitnessraum (Untersuchungs- und Behandlungsräume)</t>
  </si>
  <si>
    <t>Spezialpflegebereiche (Aufwachräume, Intensivmedizin, Spezialpflege, Frühgeborene)</t>
  </si>
  <si>
    <t>Flure des allgmeinen Pflegebereichs</t>
  </si>
  <si>
    <t>Arztpraxen und theratpeutische Praxen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</si>
  <si>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</si>
  <si>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</si>
  <si>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</si>
  <si>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</si>
  <si>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</si>
  <si>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</si>
  <si>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</si>
  <si>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</si>
  <si>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</si>
  <si>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Wärmequelle Personen [W/p]</t>
  </si>
  <si>
    <t>Arbeitshilfen tief [W/m²]</t>
  </si>
  <si>
    <t>Arbeitshilfen mittel [W/m²]</t>
  </si>
  <si>
    <t>Arbeitshilfen hoch [W/m²]</t>
  </si>
  <si>
    <t>1</t>
  </si>
  <si>
    <t>-12</t>
  </si>
  <si>
    <t>-10</t>
  </si>
  <si>
    <t>-8</t>
  </si>
  <si>
    <t>60</t>
  </si>
  <si>
    <t>70</t>
  </si>
  <si>
    <t>80</t>
  </si>
  <si>
    <t>200</t>
  </si>
  <si>
    <t>300</t>
  </si>
  <si>
    <t>400</t>
  </si>
  <si>
    <t>0</t>
  </si>
  <si>
    <t>50</t>
  </si>
  <si>
    <t>150</t>
  </si>
  <si>
    <t>500</t>
  </si>
  <si>
    <t>120</t>
  </si>
  <si>
    <t>45</t>
  </si>
  <si>
    <t>100</t>
  </si>
  <si>
    <t>Bühne (Theater, Veranstaltungsbauten)</t>
  </si>
  <si>
    <t>125</t>
  </si>
  <si>
    <t>110</t>
  </si>
  <si>
    <t>90</t>
  </si>
  <si>
    <t>63</t>
  </si>
  <si>
    <t>2.2</t>
  </si>
  <si>
    <t>3.3</t>
  </si>
  <si>
    <t>4.5</t>
  </si>
  <si>
    <t>6.3</t>
  </si>
  <si>
    <t>6.4</t>
  </si>
  <si>
    <t>7.2</t>
  </si>
  <si>
    <t>8.1</t>
  </si>
  <si>
    <t>8.2</t>
  </si>
  <si>
    <t>9.3</t>
  </si>
  <si>
    <t>12.1</t>
  </si>
  <si>
    <t>12.2</t>
  </si>
  <si>
    <t>12.3</t>
  </si>
  <si>
    <t>12.5</t>
  </si>
  <si>
    <t>12.6</t>
  </si>
  <si>
    <t>12.7</t>
  </si>
  <si>
    <t>12.10</t>
  </si>
  <si>
    <t>12.11</t>
  </si>
  <si>
    <t>Gebäudekategorie</t>
  </si>
  <si>
    <t>Empfang, Lobby</t>
  </si>
  <si>
    <t>Sitzungszimmer</t>
  </si>
  <si>
    <t>Lehrerzimmer</t>
  </si>
  <si>
    <t>Schulfachraum</t>
  </si>
  <si>
    <t>Küche zu Restaurant</t>
  </si>
  <si>
    <t>Küche zu Selbstbedienungsrestaurant</t>
  </si>
  <si>
    <t>Mehrzweckhalle</t>
  </si>
  <si>
    <t>Stationszimmer</t>
  </si>
  <si>
    <t>Laborraum</t>
  </si>
  <si>
    <t>Verkehrsfläche</t>
  </si>
  <si>
    <t>Verkehrsfläche 24h</t>
  </si>
  <si>
    <t>Treppenhaus</t>
  </si>
  <si>
    <t>Küche, Teeküche</t>
  </si>
  <si>
    <t>WC, Bad, Dusche</t>
  </si>
  <si>
    <t>WC</t>
  </si>
  <si>
    <t>Wasch- und Trockenraum</t>
  </si>
  <si>
    <t>Kühlraum</t>
  </si>
  <si>
    <t>Hotel</t>
  </si>
  <si>
    <t>Verwaltung</t>
  </si>
  <si>
    <t>Schulen</t>
  </si>
  <si>
    <t>Verkauf</t>
  </si>
  <si>
    <t>Versammlungslokale</t>
  </si>
  <si>
    <t>Spitäler</t>
  </si>
  <si>
    <t>Industrie</t>
  </si>
  <si>
    <t>Lager</t>
  </si>
  <si>
    <t>Sportbauten</t>
  </si>
  <si>
    <t>zugeordnete Nutzungen</t>
  </si>
  <si>
    <t>Arbeitshilfen Standard [W/m²]</t>
  </si>
  <si>
    <t>Arbeitshilfen Zielwert [W/m²]</t>
  </si>
  <si>
    <t>Arbeitshilfen Bestand [W/m²]</t>
  </si>
  <si>
    <t>Klassenzimmer (Schule), Gruppenraum (Kindergarten)</t>
  </si>
  <si>
    <t>appliance_gains_ziel_sia2024</t>
  </si>
  <si>
    <t>Büro-, Verwaltungs- oder Amtsgebäude</t>
  </si>
  <si>
    <t>Schule, Kindertagesstätte und sonstiges Betreuungsgebäude</t>
  </si>
  <si>
    <t>Produktions-, Werkstatt-, Lager- oder Betriebsgebäude</t>
  </si>
  <si>
    <t>Beherbergungs- oder Unterbringungsgebäude, Gastronomie- oder Verpflegungsgebäude</t>
  </si>
  <si>
    <t>Parlaments- oder Gerichtsgebäude</t>
  </si>
  <si>
    <t>Rundfunk- oder Fernsehanstalt</t>
  </si>
  <si>
    <t>Bürogebäude</t>
  </si>
  <si>
    <t>Öffentliches Verwaltungs- oder Ämtergebäude, Rathaus</t>
  </si>
  <si>
    <t>Polizeipräsidium oder -station, Bürogebäude sonstiger Bereitschaftsdienste</t>
  </si>
  <si>
    <t>Institutsgebäude für Forschung und Lehre (Labor mit geringen Anforderungen an die Raumlufttechnik, z.B. Medizin, Informatik)</t>
  </si>
  <si>
    <t>Institutsgebäude für Forschung und Lehre (Labor mit hohen Anforderungen an die Raumlufttechnik, z.B. Chemie, Tierforschung)</t>
  </si>
  <si>
    <t>Bürogebäude von Forschungsanstalten ohne Lehre</t>
  </si>
  <si>
    <t>Laborgebäude von Forschungsanstalten und Unternehmen (Labor mit geringen Anforderungen an die Raumlufttechnik)</t>
  </si>
  <si>
    <t>Laborgebäude von Forschungsanstalten und Unternehmen (Labor mit hohen Anforderungen an die Raumlufttechnik)</t>
  </si>
  <si>
    <t>Hochschulklinik</t>
  </si>
  <si>
    <t>Krankenhaus</t>
  </si>
  <si>
    <t>Gebäude für teilstationäre Versorgung (z.B. Tagesklinik, Geburtshaus)</t>
  </si>
  <si>
    <t>Rehabilitation</t>
  </si>
  <si>
    <t>Kur und Genesung</t>
  </si>
  <si>
    <t>Medizinisches Versorgungszentrum, Ärztehaus</t>
  </si>
  <si>
    <t>Arztpraxis</t>
  </si>
  <si>
    <t>Notfallpraxis</t>
  </si>
  <si>
    <t>Altenheim/Altenpflegeheim (ohne eigene Haushaltsführung der Bewohner/innen)</t>
  </si>
  <si>
    <t>Pflegeheim für Behinderte (ohne eigene Haushaltsführung der Bewohner/innen)</t>
  </si>
  <si>
    <t>Psychiatrische Pflegeheim (ohne eigene Haushaltsführung der Bewohner/innen)</t>
  </si>
  <si>
    <t>Tagespflegeeinrichtung</t>
  </si>
  <si>
    <t>Hospiz</t>
  </si>
  <si>
    <t>Schule, allgemein</t>
  </si>
  <si>
    <t>Ganztagesschule</t>
  </si>
  <si>
    <t>Internatsschule</t>
  </si>
  <si>
    <t>Förder-, Sonderschule</t>
  </si>
  <si>
    <t>Berufsbildende Schule (gewerblich, wirtschaftlich)</t>
  </si>
  <si>
    <t>Berufsbildende Schule (mit höherer technischer Ausstattung, z.B. Werkstätten)</t>
  </si>
  <si>
    <t>Berufsakademie, Berufskolleg</t>
  </si>
  <si>
    <t>Bildungszentrum</t>
  </si>
  <si>
    <t>Ausbildungsstätte</t>
  </si>
  <si>
    <t>Volkshochschule</t>
  </si>
  <si>
    <t>KiTa</t>
  </si>
  <si>
    <t>KiTa mit Küche</t>
  </si>
  <si>
    <t>Studentenhaus</t>
  </si>
  <si>
    <t>Altentagesstätte</t>
  </si>
  <si>
    <t>Jugendzentrum</t>
  </si>
  <si>
    <t>Bibliothek/Archiv (einfach, z.B. Stadtbücherei)</t>
  </si>
  <si>
    <t>Bibliothek/Archiv (höher technisiert, z.B. Unibibliothek)</t>
  </si>
  <si>
    <t>Ausstellungsgebäude (Museen, Galerien)</t>
  </si>
  <si>
    <t>Oper, Theater und Veranstaltungshalle, Kino, Konferenzzentrum</t>
  </si>
  <si>
    <t>Einfeldhalle</t>
  </si>
  <si>
    <t>Mehrfeldhalle</t>
  </si>
  <si>
    <t>Gymnastikhalle</t>
  </si>
  <si>
    <t>Sporthalle mit Mehrzwecknutzung</t>
  </si>
  <si>
    <t>Hallenbad</t>
  </si>
  <si>
    <t>Spaß- und Freizeitbad</t>
  </si>
  <si>
    <t>Thermalbad</t>
  </si>
  <si>
    <t>Hallenbad mit Freibadanlage</t>
  </si>
  <si>
    <t>Kegelbahn/Bowling</t>
  </si>
  <si>
    <t>Schießstand</t>
  </si>
  <si>
    <t>Raumschießanlage</t>
  </si>
  <si>
    <t>Reithalle</t>
  </si>
  <si>
    <t>Eissporthalle</t>
  </si>
  <si>
    <t>Tennishalle</t>
  </si>
  <si>
    <t>Gebäude für Sportaußenanlage (Tribünen-, Umkleidegebäude)</t>
  </si>
  <si>
    <t>Herberge, Ferienheim, Ferienhaus, Hotel/Pension einfach</t>
  </si>
  <si>
    <t>Ausschankwirtschaft</t>
  </si>
  <si>
    <t>Speisegaststätte (einfach)</t>
  </si>
  <si>
    <t>Restaurant (gehoben)</t>
  </si>
  <si>
    <t>Gemeinschaftsunterkunft (z.B. Flüchtlingsheim, Kaserne, Kloster)</t>
  </si>
  <si>
    <t>Gebäude für industrielle Produktion und Verarbeitung (z.B. Chemie, Metall, Textilien, Lebensmittel, Holz)</t>
  </si>
  <si>
    <t>Werkstattgebäude allgemein (z.B. von Handwerksbetrieben wie Klempner, Schlosser, Schreiner)</t>
  </si>
  <si>
    <t>Werkstattgebäude zur Wartung, Instandsetzung, Reparatur (von z.B. Kfz)</t>
  </si>
  <si>
    <t>Logistikimmobilie mit Toren bzw. Rampen</t>
  </si>
  <si>
    <t>Sonstiges Gebäude für Lagerung</t>
  </si>
  <si>
    <t>Feuerwehr, Rettungswache</t>
  </si>
  <si>
    <t>Straßenmeisterei, Bauhof u.ä.</t>
  </si>
  <si>
    <t>Fuhrpark</t>
  </si>
  <si>
    <t>zentrales Wirtschaftsgebäude (z.B. Zentralküche oder -wäscherei in Krankenhaus)</t>
  </si>
  <si>
    <t>Handelsgebäude des Non-Food-Einzel- und -Großhandels</t>
  </si>
  <si>
    <t>Einkaufszentrum, Shopping-Mall</t>
  </si>
  <si>
    <t>von Dienstleistern (z.B. Frisör, Kosmetik) genutztes Ladengebäude</t>
  </si>
  <si>
    <t>Kraftwerk (Gesamtanlage für Energieversorgung)</t>
  </si>
  <si>
    <t>Gebäude für Lenkung, Steuerung, Überwachung und Nachrichtenübermittlung (z.B. Stellwerk, Leuchtturm)</t>
  </si>
  <si>
    <t>Gebäude für Energieversorgung (z.B. Fernheizwerk, Tankstelle)</t>
  </si>
  <si>
    <t>Park-/Garagengebäude, Fahrradparkhaus</t>
  </si>
  <si>
    <t>Halle für sonstige Verkehrsmittel (z.B. für Flugzeuge, Schienenfahrzeuge)</t>
  </si>
  <si>
    <t>Gebäude zur Pflege von Fahrzeugen (z.B. Waschstraße)</t>
  </si>
  <si>
    <t>Empfangsgebäude (Bahnhof, Busbahnhof, Flughafen, Schiffsterminal)</t>
  </si>
  <si>
    <t>Lagerhallen, Logistikhallen</t>
  </si>
  <si>
    <t>Handelsgebäude des Lebensmitteleinzel- und -großhandels</t>
  </si>
  <si>
    <t>hk_geb</t>
  </si>
  <si>
    <t>uk_geb</t>
  </si>
  <si>
    <t>Verwaltungs- oder Seminargebäude</t>
  </si>
  <si>
    <t>Hörsaalgebäude</t>
  </si>
  <si>
    <t>Gebäude für gewerbliche Produktion und Verarbeitung (z.B. Brauerei, Molkerei, Schlachthof)</t>
  </si>
  <si>
    <t>Sonstige Gebäudefunktion</t>
  </si>
  <si>
    <t>Nutzungszeit Start</t>
  </si>
  <si>
    <t>Nutzungszeit Ende</t>
  </si>
  <si>
    <t>usage_start_18599</t>
  </si>
  <si>
    <t>usage_end_18599</t>
  </si>
  <si>
    <t>usage_start_sia2024</t>
  </si>
  <si>
    <t>usage_end_sia2024</t>
  </si>
  <si>
    <t>Wohnen</t>
  </si>
  <si>
    <t>Wohnen MFH</t>
  </si>
  <si>
    <t>Wohnen EFH</t>
  </si>
  <si>
    <t>1.1</t>
  </si>
  <si>
    <t>1.2</t>
  </si>
  <si>
    <t>Wohnen (EFH)</t>
  </si>
  <si>
    <t>Wohnen (MFH)</t>
  </si>
  <si>
    <t>3.7</t>
  </si>
  <si>
    <t>4.8</t>
  </si>
  <si>
    <t>5.6</t>
  </si>
  <si>
    <t>8.4</t>
  </si>
  <si>
    <t>10.8</t>
  </si>
  <si>
    <t>9.6</t>
  </si>
  <si>
    <t>Außenluftvolumenstrom</t>
  </si>
  <si>
    <t>0.6</t>
  </si>
  <si>
    <t>2.4</t>
  </si>
  <si>
    <t>2.6</t>
  </si>
  <si>
    <t>3.6</t>
  </si>
  <si>
    <t>2.5</t>
  </si>
  <si>
    <t>3.8</t>
  </si>
  <si>
    <t>typ_mza</t>
  </si>
  <si>
    <t>nr_mza</t>
  </si>
  <si>
    <t>gain_per_person_mza</t>
  </si>
  <si>
    <t>appliance_gains_tief_mza</t>
  </si>
  <si>
    <t>appliance_gains_mittel_mza</t>
  </si>
  <si>
    <t>appliance_gains_hoch_mza</t>
  </si>
  <si>
    <t>usage_start_mza</t>
  </si>
  <si>
    <t>usage_end_mza</t>
  </si>
  <si>
    <t>ID_Enob_lfd</t>
  </si>
  <si>
    <t>ID_HK_UK_Enob_long</t>
  </si>
  <si>
    <t>Bez_HK_Enob</t>
  </si>
  <si>
    <t>Bez_UK_Enob</t>
  </si>
  <si>
    <t>t_start</t>
  </si>
  <si>
    <t>t_end</t>
  </si>
  <si>
    <t>t_nutz_d</t>
  </si>
  <si>
    <t>d_nutz_a</t>
  </si>
  <si>
    <t>t_Tag</t>
  </si>
  <si>
    <t>t_Nacht</t>
  </si>
  <si>
    <t>t_v_op_d</t>
  </si>
  <si>
    <t>d_op_a</t>
  </si>
  <si>
    <t>t_h_op_d</t>
  </si>
  <si>
    <t>E_m</t>
  </si>
  <si>
    <t>h_Ne</t>
  </si>
  <si>
    <t>k_A</t>
  </si>
  <si>
    <t>C_A</t>
  </si>
  <si>
    <t>k</t>
  </si>
  <si>
    <t>F_t</t>
  </si>
  <si>
    <t>k_VB</t>
  </si>
  <si>
    <t>theta_i_h_soll</t>
  </si>
  <si>
    <t>theta_i_c_soll</t>
  </si>
  <si>
    <t>deltaTheta_i_NA</t>
  </si>
  <si>
    <t>theta_i_h_min</t>
  </si>
  <si>
    <t>theta_i_c_max</t>
  </si>
  <si>
    <t>Feuchte</t>
  </si>
  <si>
    <t>Vd_A</t>
  </si>
  <si>
    <t>Vd_A_Geb</t>
  </si>
  <si>
    <t>c_RLT</t>
  </si>
  <si>
    <t>F_RLT</t>
  </si>
  <si>
    <t>q_I_p</t>
  </si>
  <si>
    <t>q_I_fac</t>
  </si>
  <si>
    <t>HK_UK_1-0</t>
  </si>
  <si>
    <t>HK_UK_1-1</t>
  </si>
  <si>
    <t>HK_UK_1-2</t>
  </si>
  <si>
    <t>HK_UK_1-3</t>
  </si>
  <si>
    <t>HK_UK_1-4</t>
  </si>
  <si>
    <t>HK_UK_1-5</t>
  </si>
  <si>
    <t>HK_UK_2-0</t>
  </si>
  <si>
    <t>HK_UK_2-1</t>
  </si>
  <si>
    <t>HK_UK_2-2</t>
  </si>
  <si>
    <t>HK_UK_2-3</t>
  </si>
  <si>
    <t>HK_UK_2-4</t>
  </si>
  <si>
    <t>HK_UK_2-5</t>
  </si>
  <si>
    <t>HK_UK_2-6</t>
  </si>
  <si>
    <t>HK_UK_2-7</t>
  </si>
  <si>
    <t>HK_UK_3-0</t>
  </si>
  <si>
    <t>HK_UK_3-1</t>
  </si>
  <si>
    <t>HK_UK_3-2</t>
  </si>
  <si>
    <t>HK_UK_3-3</t>
  </si>
  <si>
    <t>HK_UK_3-4</t>
  </si>
  <si>
    <t>HK_UK_3-5</t>
  </si>
  <si>
    <t>HK_UK_3-6</t>
  </si>
  <si>
    <t>HK_UK_3-7</t>
  </si>
  <si>
    <t>HK_UK_3-8</t>
  </si>
  <si>
    <t>HK_UK_3-9</t>
  </si>
  <si>
    <t>HK_UK_3-10</t>
  </si>
  <si>
    <t>HK_UK_3-11</t>
  </si>
  <si>
    <t>HK_UK_3-12</t>
  </si>
  <si>
    <t>HK_UK_3-13</t>
  </si>
  <si>
    <t>HK_UK_4-0</t>
  </si>
  <si>
    <t>HK_UK_4-1</t>
  </si>
  <si>
    <t>HK_UK_4-2</t>
  </si>
  <si>
    <t>HK_UK_4-3</t>
  </si>
  <si>
    <t>HK_UK_4-4</t>
  </si>
  <si>
    <t>HK_UK_4-5</t>
  </si>
  <si>
    <t>HK_UK_4-6</t>
  </si>
  <si>
    <t>HK_UK_4-7</t>
  </si>
  <si>
    <t>HK_UK_4-8</t>
  </si>
  <si>
    <t>HK_UK_4-9</t>
  </si>
  <si>
    <t>HK_UK_4-10</t>
  </si>
  <si>
    <t>HK_UK_4-11</t>
  </si>
  <si>
    <t>HK_UK_4-12</t>
  </si>
  <si>
    <t>HK_UK_4-13</t>
  </si>
  <si>
    <t>HK_UK_4-14</t>
  </si>
  <si>
    <t>HK_UK_4-15</t>
  </si>
  <si>
    <t>HK_UK_5-0</t>
  </si>
  <si>
    <t>HK_UK_5-1</t>
  </si>
  <si>
    <t>HK_UK_5-2</t>
  </si>
  <si>
    <t>HK_UK_5-3</t>
  </si>
  <si>
    <t>HK_UK_5-4</t>
  </si>
  <si>
    <t>HK_UK_5-5</t>
  </si>
  <si>
    <t>HK_UK_5-6</t>
  </si>
  <si>
    <t>HK_UK_6-0</t>
  </si>
  <si>
    <t>HK_UK_6-1</t>
  </si>
  <si>
    <t>HK_UK_6-2</t>
  </si>
  <si>
    <t>HK_UK_6-3</t>
  </si>
  <si>
    <t>HK_UK_6-4</t>
  </si>
  <si>
    <t>HK_UK_6-5</t>
  </si>
  <si>
    <t>HK_UK_6-6</t>
  </si>
  <si>
    <t>HK_UK_6-7</t>
  </si>
  <si>
    <t>HK_UK_6-8</t>
  </si>
  <si>
    <t>HK_UK_6-9</t>
  </si>
  <si>
    <t>HK_UK_6-10</t>
  </si>
  <si>
    <t>HK_UK_6-11</t>
  </si>
  <si>
    <t>HK_UK_6-12</t>
  </si>
  <si>
    <t>HK_UK_6-13</t>
  </si>
  <si>
    <t>HK_UK_6-14</t>
  </si>
  <si>
    <t>HK_UK_6-15</t>
  </si>
  <si>
    <t>HK_UK_6-16</t>
  </si>
  <si>
    <t>HK_UK_7-0</t>
  </si>
  <si>
    <t>HK_UK_7-1</t>
  </si>
  <si>
    <t>HK_UK_7-2</t>
  </si>
  <si>
    <t>HK_UK_7-3</t>
  </si>
  <si>
    <t>HK_UK_7-4</t>
  </si>
  <si>
    <t>HK_UK_7-5</t>
  </si>
  <si>
    <t>HK_UK_7-6</t>
  </si>
  <si>
    <t>HK_UK_7-7</t>
  </si>
  <si>
    <t>HK_UK_8-0</t>
  </si>
  <si>
    <t>HK_UK_8-1</t>
  </si>
  <si>
    <t>HK_UK_8-2</t>
  </si>
  <si>
    <t>HK_UK_8-3</t>
  </si>
  <si>
    <t>HK_UK_8-4</t>
  </si>
  <si>
    <t>HK_UK_8-5</t>
  </si>
  <si>
    <t>HK_UK_8-6</t>
  </si>
  <si>
    <t>HK_UK_8-7</t>
  </si>
  <si>
    <t>HK_UK_8-8</t>
  </si>
  <si>
    <t>HK_UK_8-9</t>
  </si>
  <si>
    <t>HK_UK_8-10</t>
  </si>
  <si>
    <t>HK_UK_8-11</t>
  </si>
  <si>
    <t>HK_UK_9-0</t>
  </si>
  <si>
    <t>HK_UK_9-1</t>
  </si>
  <si>
    <t>HK_UK_9-2</t>
  </si>
  <si>
    <t>HK_UK_9-3</t>
  </si>
  <si>
    <t>HK_UK_9-4</t>
  </si>
  <si>
    <t>HK_UK_9-5</t>
  </si>
  <si>
    <t>HK_UK_9-6</t>
  </si>
  <si>
    <t>HK_UK_10-0</t>
  </si>
  <si>
    <t>HK_UK_10-1</t>
  </si>
  <si>
    <t>HK_UK_10-2</t>
  </si>
  <si>
    <t>HK_UK_10-3</t>
  </si>
  <si>
    <t>HK_UK_10-4</t>
  </si>
  <si>
    <t>HK_UK_10-5</t>
  </si>
  <si>
    <t>HK_UK_10-6</t>
  </si>
  <si>
    <t>HK_UK_11-0</t>
  </si>
  <si>
    <t>HK_UK_11-1</t>
  </si>
  <si>
    <t>HK_UK_11-2</t>
  </si>
  <si>
    <t>HK_UK_11-3</t>
  </si>
  <si>
    <t>HK_UK_11-4</t>
  </si>
  <si>
    <t>HK_UK_12-0</t>
  </si>
  <si>
    <t>Sonstiges Nichtwohngebäude</t>
  </si>
  <si>
    <t>22</t>
  </si>
  <si>
    <t>42</t>
  </si>
  <si>
    <t>43</t>
  </si>
  <si>
    <t>44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</si>
  <si>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</si>
  <si>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</si>
  <si>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</si>
  <si>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</si>
  <si>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</si>
  <si>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</si>
  <si>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</si>
  <si>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</si>
  <si>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</si>
  <si>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</si>
  <si>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</si>
  <si>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</si>
  <si>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</si>
  <si>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</si>
  <si>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</si>
  <si>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</si>
  <si>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</si>
  <si>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</si>
  <si>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</si>
  <si>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</si>
  <si>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</si>
  <si>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</si>
  <si>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</si>
  <si>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</si>
  <si>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</si>
  <si>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</si>
  <si>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</si>
  <si>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</si>
  <si>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</si>
  <si>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</si>
  <si>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</si>
  <si>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</si>
  <si>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</si>
  <si>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</si>
  <si>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</si>
  <si>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</si>
  <si>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</si>
  <si>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</si>
  <si>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</si>
  <si>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</si>
  <si>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</si>
  <si>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</si>
  <si>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</si>
  <si>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</si>
  <si>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</si>
  <si>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</si>
  <si>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</si>
  <si>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</si>
  <si>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</si>
  <si>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</si>
  <si>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</si>
  <si>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</si>
  <si>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</si>
  <si>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</si>
  <si>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</si>
  <si>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</si>
  <si>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Wohngebäude</t>
  </si>
  <si>
    <t>109</t>
  </si>
  <si>
    <t>HK_UK_13_0</t>
  </si>
  <si>
    <t>111</t>
  </si>
  <si>
    <t>HK_UK_13_1</t>
  </si>
  <si>
    <t>HK_UK_13_2</t>
  </si>
  <si>
    <t>Ein- und Zweifamilienhaus</t>
  </si>
  <si>
    <t>Mehrfamilienhaus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</si>
</sst>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€_-;\-* #,##0.00\ _€_-;_-* &quot;-&quot;??\ _€_-;_-@_-"/>
    <numFmt numFmtId="164" formatCode="_(&quot;€&quot;* #,##0.00_);_(&quot;€&quot;* \(#,##0.00\);_(&quot;€&quot;* &quot;-&quot;??_);_(@_)"/>
    <numFmt numFmtId="165" formatCode="0.0"/>
    <numFmt numFmtId="166" formatCode="0.000"/>
    <numFmt numFmtId="167" formatCode="_-* #,##0.00\ [$€-1]_-;\-* #,##0.00\ [$€-1]_-;_-* &quot;-&quot;??\ [$€-1]_-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57"/>
      <name val="Tahoma"/>
      <family val="2"/>
    </font>
    <font>
      <sz val="8"/>
      <color indexed="12"/>
      <name val="Tahoma"/>
      <family val="2"/>
    </font>
    <font>
      <sz val="8"/>
      <name val="Tahoma"/>
      <family val="2"/>
    </font>
    <font>
      <sz val="11"/>
      <color indexed="62"/>
      <name val="Calibri"/>
      <family val="2"/>
    </font>
    <font>
      <b/>
      <sz val="8"/>
      <name val="Tahoma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8"/>
      <color indexed="9"/>
      <name val="Tahoma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10"/>
      <name val="Tahoma"/>
      <family val="2"/>
    </font>
    <font>
      <sz val="8"/>
      <color theme="0"/>
      <name val="Arial"/>
      <family val="2"/>
    </font>
    <font>
      <sz val="8"/>
      <color theme="0" tint="-0.34998626667073579"/>
      <name val="Arial"/>
      <family val="2"/>
    </font>
    <font>
      <sz val="9"/>
      <color theme="3" tint="0.39994506668294322"/>
      <name val="Arial"/>
      <family val="2"/>
    </font>
    <font>
      <sz val="8"/>
      <color rgb="FFFF0000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theme="7" tint="0.59996337778862885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163">
    <xf numFmtId="0" fontId="0" fillId="0" borderId="0"/>
    <xf numFmtId="0" fontId="6" fillId="29" borderId="0"/>
    <xf numFmtId="0" fontId="7" fillId="7" borderId="0" applyBorder="0" applyAlignment="0">
      <alignment horizontal="left"/>
    </xf>
    <xf numFmtId="0" fontId="17" fillId="28" borderId="0">
      <alignment horizontal="left" vertical="center"/>
    </xf>
    <xf numFmtId="2" fontId="7" fillId="8" borderId="3" applyBorder="0" applyAlignment="0">
      <alignment horizontal="center"/>
    </xf>
    <xf numFmtId="0" fontId="7" fillId="9" borderId="3" applyBorder="0" applyAlignment="0">
      <alignment horizontal="left"/>
    </xf>
    <xf numFmtId="0" fontId="20" fillId="28" borderId="0" applyBorder="0" applyAlignment="0">
      <alignment vertical="center"/>
    </xf>
    <xf numFmtId="0" fontId="19" fillId="28" borderId="0" applyBorder="0" applyAlignment="0">
      <alignment vertical="center"/>
    </xf>
    <xf numFmtId="0" fontId="6" fillId="7" borderId="0" applyNumberFormat="0" applyBorder="0">
      <alignment horizontal="center"/>
    </xf>
    <xf numFmtId="0" fontId="6" fillId="10" borderId="2" applyBorder="0" applyAlignment="0">
      <alignment horizontal="center" vertical="center"/>
      <protection locked="0"/>
    </xf>
    <xf numFmtId="9" fontId="6" fillId="10" borderId="2" applyBorder="0" applyAlignment="0">
      <alignment horizontal="center"/>
      <protection locked="0"/>
    </xf>
    <xf numFmtId="0" fontId="6" fillId="7" borderId="0" applyFont="0" applyBorder="0" applyAlignment="0"/>
    <xf numFmtId="0" fontId="22" fillId="10" borderId="2" applyBorder="0">
      <alignment horizontal="center" wrapText="1"/>
      <protection locked="0"/>
    </xf>
    <xf numFmtId="4" fontId="5" fillId="11" borderId="0" applyAlignment="0">
      <alignment horizontal="center"/>
    </xf>
    <xf numFmtId="0" fontId="6" fillId="29" borderId="0"/>
    <xf numFmtId="0" fontId="8" fillId="10" borderId="4">
      <alignment horizontal="center" vertical="center" shrinkToFit="1"/>
      <protection locked="0"/>
    </xf>
    <xf numFmtId="0" fontId="6" fillId="11" borderId="5">
      <alignment horizontal="center"/>
    </xf>
    <xf numFmtId="2" fontId="21" fillId="0" borderId="6">
      <alignment horizontal="left"/>
    </xf>
    <xf numFmtId="0" fontId="6" fillId="8" borderId="7" applyBorder="0" applyAlignment="0"/>
    <xf numFmtId="43" fontId="5" fillId="0" borderId="0" applyFont="0" applyFill="0" applyBorder="0" applyAlignment="0" applyProtection="0"/>
    <xf numFmtId="0" fontId="10" fillId="13" borderId="4">
      <alignment horizontal="center" vertical="center"/>
      <protection locked="0"/>
    </xf>
    <xf numFmtId="0" fontId="9" fillId="10" borderId="4">
      <alignment horizontal="center" vertical="center" shrinkToFit="1"/>
      <protection locked="0"/>
    </xf>
    <xf numFmtId="164" fontId="5" fillId="0" borderId="0" applyFont="0" applyFill="0" applyBorder="0" applyAlignment="0" applyProtection="0"/>
    <xf numFmtId="0" fontId="10" fillId="7" borderId="4">
      <alignment horizontal="center" vertical="center"/>
    </xf>
    <xf numFmtId="0" fontId="11" fillId="14" borderId="8" applyNumberFormat="0" applyAlignment="0" applyProtection="0"/>
    <xf numFmtId="0" fontId="12" fillId="12" borderId="10">
      <alignment vertical="center" wrapText="1"/>
    </xf>
    <xf numFmtId="0" fontId="13" fillId="15" borderId="0" applyNumberFormat="0" applyBorder="0" applyAlignment="0" applyProtection="0"/>
    <xf numFmtId="0" fontId="6" fillId="12" borderId="0"/>
    <xf numFmtId="9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6" borderId="0">
      <alignment horizontal="left" vertical="center" indent="1"/>
    </xf>
    <xf numFmtId="0" fontId="7" fillId="32" borderId="0" applyNumberFormat="0" applyFont="0" applyBorder="0" applyAlignment="0"/>
    <xf numFmtId="0" fontId="7" fillId="22" borderId="0" applyNumberFormat="0" applyFont="0" applyBorder="0" applyAlignment="0"/>
    <xf numFmtId="0" fontId="6" fillId="23" borderId="0" applyNumberFormat="0" applyFont="0" applyBorder="0" applyAlignment="0"/>
    <xf numFmtId="0" fontId="6" fillId="17" borderId="0" applyNumberFormat="0" applyFont="0" applyBorder="0" applyAlignment="0"/>
    <xf numFmtId="0" fontId="6" fillId="24" borderId="0" applyNumberFormat="0" applyFont="0" applyBorder="0" applyAlignment="0"/>
    <xf numFmtId="1" fontId="6" fillId="25" borderId="0" applyNumberFormat="0" applyFont="0" applyBorder="0" applyAlignment="0">
      <alignment horizontal="center" wrapText="1"/>
    </xf>
    <xf numFmtId="1" fontId="6" fillId="26" borderId="0" applyNumberFormat="0" applyFont="0" applyBorder="0" applyAlignment="0">
      <alignment horizontal="center" wrapText="1"/>
    </xf>
    <xf numFmtId="1" fontId="20" fillId="33" borderId="0" applyNumberFormat="0" applyFont="0" applyBorder="0" applyAlignment="0">
      <alignment horizontal="center" wrapText="1"/>
    </xf>
    <xf numFmtId="0" fontId="6" fillId="27" borderId="0" applyNumberFormat="0" applyFont="0" applyBorder="0" applyAlignment="0"/>
    <xf numFmtId="0" fontId="6" fillId="28" borderId="0" applyNumberFormat="0" applyFont="0" applyBorder="0" applyAlignment="0"/>
    <xf numFmtId="0" fontId="6" fillId="20" borderId="0" applyNumberFormat="0" applyFont="0" applyBorder="0" applyAlignment="0"/>
    <xf numFmtId="0" fontId="6" fillId="18" borderId="11" applyNumberFormat="0" applyFont="0" applyBorder="0" applyAlignment="0"/>
    <xf numFmtId="0" fontId="7" fillId="30" borderId="0" applyNumberFormat="0" applyFont="0" applyBorder="0" applyAlignment="0">
      <alignment horizontal="centerContinuous"/>
    </xf>
    <xf numFmtId="0" fontId="6" fillId="31" borderId="0" applyNumberFormat="0" applyFont="0" applyBorder="0" applyAlignment="0"/>
    <xf numFmtId="0" fontId="24" fillId="34" borderId="0" applyNumberFormat="0" applyBorder="0" applyAlignment="0"/>
    <xf numFmtId="0" fontId="20" fillId="19" borderId="0" applyNumberFormat="0" applyFont="0" applyBorder="0" applyAlignment="0"/>
    <xf numFmtId="165" fontId="6" fillId="35" borderId="0" applyNumberFormat="0" applyFont="0" applyBorder="0" applyAlignment="0">
      <alignment horizontal="center"/>
    </xf>
    <xf numFmtId="0" fontId="6" fillId="10" borderId="2" applyNumberFormat="0" applyFont="0" applyFill="0" applyBorder="0" applyAlignment="0">
      <alignment horizontal="center" vertical="center"/>
      <protection locked="0"/>
    </xf>
    <xf numFmtId="0" fontId="9" fillId="10" borderId="4">
      <alignment horizontal="center" vertical="center" shrinkToFit="1"/>
      <protection locked="0"/>
    </xf>
    <xf numFmtId="0" fontId="10" fillId="12" borderId="10">
      <alignment horizontal="left" vertical="top" wrapText="1"/>
    </xf>
    <xf numFmtId="0" fontId="6" fillId="29" borderId="0"/>
    <xf numFmtId="0" fontId="6" fillId="10" borderId="2" applyBorder="0" applyAlignment="0">
      <alignment horizontal="center" vertical="center"/>
      <protection locked="0"/>
    </xf>
    <xf numFmtId="0" fontId="6" fillId="8" borderId="13" applyBorder="0" applyAlignment="0"/>
    <xf numFmtId="0" fontId="23" fillId="6" borderId="1" applyNumberFormat="0" applyFont="0" applyAlignment="0" applyProtection="0"/>
    <xf numFmtId="49" fontId="25" fillId="7" borderId="12" applyBorder="0">
      <alignment horizontal="left" vertical="top"/>
    </xf>
    <xf numFmtId="0" fontId="26" fillId="36" borderId="14">
      <alignment horizontal="left" vertical="center" wrapText="1"/>
      <protection locked="0"/>
    </xf>
    <xf numFmtId="166" fontId="26" fillId="36" borderId="14">
      <alignment horizontal="center" vertical="center"/>
      <protection locked="0"/>
    </xf>
    <xf numFmtId="0" fontId="27" fillId="17" borderId="4">
      <alignment horizontal="center" vertical="center"/>
    </xf>
    <xf numFmtId="0" fontId="4" fillId="6" borderId="1" applyNumberFormat="0" applyFont="0" applyAlignment="0" applyProtection="0"/>
    <xf numFmtId="0" fontId="6" fillId="18" borderId="15" applyNumberFormat="0" applyFont="0" applyBorder="0" applyAlignment="0"/>
    <xf numFmtId="0" fontId="4" fillId="6" borderId="1" applyNumberFormat="0" applyFont="0" applyAlignment="0" applyProtection="0"/>
    <xf numFmtId="0" fontId="6" fillId="18" borderId="11" applyNumberFormat="0" applyFont="0" applyBorder="0" applyAlignment="0"/>
    <xf numFmtId="0" fontId="6" fillId="18" borderId="11" applyNumberFormat="0" applyFont="0" applyBorder="0" applyAlignment="0"/>
    <xf numFmtId="43" fontId="5" fillId="0" borderId="0" applyFont="0" applyFill="0" applyBorder="0" applyAlignment="0" applyProtection="0"/>
    <xf numFmtId="0" fontId="13" fillId="15" borderId="0" applyNumberFormat="0" applyBorder="0" applyAlignment="0" applyProtection="0"/>
    <xf numFmtId="0" fontId="6" fillId="18" borderId="11" applyNumberFormat="0" applyFont="0" applyBorder="0" applyAlignment="0"/>
    <xf numFmtId="0" fontId="4" fillId="6" borderId="1" applyNumberFormat="0" applyFont="0" applyAlignment="0" applyProtection="0"/>
    <xf numFmtId="0" fontId="6" fillId="18" borderId="11" applyNumberFormat="0" applyFont="0" applyBorder="0" applyAlignment="0"/>
    <xf numFmtId="43" fontId="5" fillId="0" borderId="0" applyFont="0" applyFill="0" applyBorder="0" applyAlignment="0" applyProtection="0"/>
    <xf numFmtId="0" fontId="13" fillId="15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6" borderId="1" applyNumberFormat="0" applyFont="0" applyAlignment="0" applyProtection="0"/>
    <xf numFmtId="0" fontId="18" fillId="10" borderId="4">
      <alignment horizontal="center" vertical="center" shrinkToFit="1"/>
      <protection locked="0"/>
    </xf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6" fillId="29" borderId="0"/>
    <xf numFmtId="0" fontId="12" fillId="12" borderId="10">
      <alignment vertical="center" wrapText="1"/>
    </xf>
    <xf numFmtId="0" fontId="27" fillId="17" borderId="4">
      <alignment horizontal="center" vertical="center"/>
    </xf>
    <xf numFmtId="0" fontId="10" fillId="12" borderId="10">
      <alignment horizontal="left" vertical="top" wrapText="1"/>
    </xf>
    <xf numFmtId="0" fontId="9" fillId="10" borderId="4">
      <alignment horizontal="center" vertical="center" shrinkToFit="1"/>
      <protection locked="0"/>
    </xf>
    <xf numFmtId="43" fontId="5" fillId="0" borderId="0" applyFont="0" applyFill="0" applyBorder="0" applyAlignment="0" applyProtection="0"/>
    <xf numFmtId="0" fontId="10" fillId="13" borderId="4">
      <alignment horizontal="center" vertical="center"/>
      <protection locked="0"/>
    </xf>
    <xf numFmtId="0" fontId="10" fillId="7" borderId="4">
      <alignment horizontal="center" vertical="center"/>
    </xf>
    <xf numFmtId="0" fontId="12" fillId="12" borderId="10">
      <alignment vertical="center" wrapText="1"/>
    </xf>
    <xf numFmtId="0" fontId="13" fillId="15" borderId="0" applyNumberFormat="0" applyBorder="0" applyAlignment="0" applyProtection="0"/>
    <xf numFmtId="0" fontId="7" fillId="9" borderId="3" applyBorder="0" applyAlignment="0">
      <alignment horizontal="left"/>
    </xf>
    <xf numFmtId="0" fontId="10" fillId="13" borderId="4">
      <alignment horizontal="center" vertical="center"/>
      <protection locked="0"/>
    </xf>
    <xf numFmtId="0" fontId="9" fillId="10" borderId="4">
      <alignment horizontal="center" vertical="center" shrinkToFit="1"/>
      <protection locked="0"/>
    </xf>
    <xf numFmtId="0" fontId="15" fillId="0" borderId="9" applyNumberFormat="0" applyFill="0" applyAlignment="0" applyProtection="0"/>
    <xf numFmtId="0" fontId="9" fillId="10" borderId="4">
      <alignment horizontal="center" vertical="center" shrinkToFit="1"/>
      <protection locked="0"/>
    </xf>
    <xf numFmtId="0" fontId="7" fillId="9" borderId="3" applyBorder="0" applyAlignment="0">
      <alignment horizontal="left"/>
    </xf>
    <xf numFmtId="0" fontId="15" fillId="0" borderId="9" applyNumberFormat="0" applyFill="0" applyAlignment="0" applyProtection="0"/>
    <xf numFmtId="0" fontId="10" fillId="12" borderId="10">
      <alignment horizontal="left" vertical="top" wrapText="1"/>
    </xf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11" fillId="14" borderId="8" applyNumberFormat="0" applyAlignment="0" applyProtection="0"/>
    <xf numFmtId="0" fontId="12" fillId="12" borderId="10">
      <alignment vertical="center" wrapText="1"/>
    </xf>
    <xf numFmtId="0" fontId="4" fillId="6" borderId="1" applyNumberFormat="0" applyFont="0" applyAlignment="0" applyProtection="0"/>
    <xf numFmtId="0" fontId="10" fillId="7" borderId="4">
      <alignment horizontal="center" vertical="center"/>
    </xf>
    <xf numFmtId="0" fontId="8" fillId="10" borderId="4">
      <alignment horizontal="center" vertical="center" shrinkToFit="1"/>
      <protection locked="0"/>
    </xf>
    <xf numFmtId="0" fontId="11" fillId="14" borderId="8" applyNumberFormat="0" applyAlignment="0" applyProtection="0"/>
    <xf numFmtId="0" fontId="18" fillId="10" borderId="4">
      <alignment horizontal="center" vertical="center" shrinkToFit="1"/>
      <protection locked="0"/>
    </xf>
    <xf numFmtId="0" fontId="10" fillId="12" borderId="10">
      <alignment horizontal="left" vertical="top" wrapText="1"/>
    </xf>
    <xf numFmtId="0" fontId="12" fillId="12" borderId="10">
      <alignment vertical="center" wrapText="1"/>
    </xf>
    <xf numFmtId="0" fontId="12" fillId="12" borderId="10">
      <alignment vertical="center" wrapText="1"/>
    </xf>
    <xf numFmtId="49" fontId="25" fillId="7" borderId="16" applyBorder="0">
      <alignment horizontal="left" vertical="top"/>
    </xf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6" borderId="1" applyNumberFormat="0" applyFont="0" applyAlignment="0" applyProtection="0"/>
    <xf numFmtId="0" fontId="12" fillId="12" borderId="10">
      <alignment vertical="center" wrapText="1"/>
    </xf>
    <xf numFmtId="0" fontId="7" fillId="9" borderId="3" applyBorder="0" applyAlignment="0">
      <alignment horizontal="left"/>
    </xf>
    <xf numFmtId="0" fontId="15" fillId="0" borderId="9" applyNumberFormat="0" applyFill="0" applyAlignment="0" applyProtection="0"/>
    <xf numFmtId="0" fontId="7" fillId="9" borderId="3" applyBorder="0" applyAlignment="0">
      <alignment horizontal="left"/>
    </xf>
    <xf numFmtId="0" fontId="15" fillId="0" borderId="9" applyNumberFormat="0" applyFill="0" applyAlignment="0" applyProtection="0"/>
    <xf numFmtId="0" fontId="10" fillId="12" borderId="10">
      <alignment horizontal="left" vertical="top" wrapText="1"/>
    </xf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11" fillId="14" borderId="8" applyNumberFormat="0" applyAlignment="0" applyProtection="0"/>
    <xf numFmtId="0" fontId="12" fillId="12" borderId="10">
      <alignment vertical="center" wrapText="1"/>
    </xf>
    <xf numFmtId="0" fontId="4" fillId="6" borderId="1" applyNumberFormat="0" applyFont="0" applyAlignment="0" applyProtection="0"/>
    <xf numFmtId="0" fontId="23" fillId="0" borderId="0"/>
    <xf numFmtId="2" fontId="23" fillId="37" borderId="2" applyNumberFormat="0" applyFont="0" applyAlignment="0">
      <alignment horizontal="center"/>
    </xf>
    <xf numFmtId="0" fontId="4" fillId="0" borderId="0"/>
    <xf numFmtId="0" fontId="12" fillId="12" borderId="10">
      <alignment vertical="center" wrapText="1"/>
    </xf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6" borderId="1" applyNumberFormat="0" applyFont="0" applyAlignment="0" applyProtection="0"/>
    <xf numFmtId="0" fontId="15" fillId="0" borderId="9" applyNumberFormat="0" applyFill="0" applyAlignment="0" applyProtection="0"/>
    <xf numFmtId="0" fontId="7" fillId="9" borderId="3" applyBorder="0" applyAlignment="0">
      <alignment horizontal="left"/>
    </xf>
    <xf numFmtId="0" fontId="10" fillId="12" borderId="10">
      <alignment horizontal="left" vertical="top" wrapText="1"/>
    </xf>
    <xf numFmtId="0" fontId="4" fillId="6" borderId="1" applyNumberFormat="0" applyFont="0" applyAlignment="0" applyProtection="0"/>
    <xf numFmtId="0" fontId="4" fillId="6" borderId="1" applyNumberFormat="0" applyFont="0" applyAlignment="0" applyProtection="0"/>
    <xf numFmtId="0" fontId="11" fillId="14" borderId="8" applyNumberFormat="0" applyAlignment="0" applyProtection="0"/>
    <xf numFmtId="0" fontId="12" fillId="12" borderId="10">
      <alignment vertical="center" wrapText="1"/>
    </xf>
    <xf numFmtId="0" fontId="4" fillId="6" borderId="1" applyNumberFormat="0" applyFont="0" applyAlignment="0" applyProtection="0"/>
    <xf numFmtId="0" fontId="4" fillId="0" borderId="0"/>
    <xf numFmtId="0" fontId="7" fillId="9" borderId="3" applyBorder="0" applyAlignment="0">
      <alignment horizontal="left"/>
    </xf>
    <xf numFmtId="0" fontId="15" fillId="0" borderId="9" applyNumberFormat="0" applyFill="0" applyAlignment="0" applyProtection="0"/>
    <xf numFmtId="0" fontId="7" fillId="9" borderId="3" applyBorder="0" applyAlignment="0">
      <alignment horizontal="left"/>
    </xf>
    <xf numFmtId="0" fontId="15" fillId="0" borderId="9" applyNumberFormat="0" applyFill="0" applyAlignment="0" applyProtection="0"/>
    <xf numFmtId="0" fontId="10" fillId="12" borderId="10">
      <alignment horizontal="left" vertical="top" wrapText="1"/>
    </xf>
    <xf numFmtId="0" fontId="11" fillId="14" borderId="8" applyNumberFormat="0" applyAlignment="0" applyProtection="0"/>
    <xf numFmtId="0" fontId="12" fillId="12" borderId="10">
      <alignment vertical="center" wrapText="1"/>
    </xf>
    <xf numFmtId="0" fontId="11" fillId="14" borderId="8" applyNumberFormat="0" applyAlignment="0" applyProtection="0"/>
    <xf numFmtId="0" fontId="12" fillId="12" borderId="10">
      <alignment vertical="center" wrapText="1"/>
    </xf>
    <xf numFmtId="0" fontId="15" fillId="0" borderId="9" applyNumberFormat="0" applyFill="0" applyAlignment="0" applyProtection="0"/>
    <xf numFmtId="0" fontId="7" fillId="9" borderId="3" applyBorder="0" applyAlignment="0">
      <alignment horizontal="left"/>
    </xf>
    <xf numFmtId="0" fontId="10" fillId="12" borderId="10">
      <alignment horizontal="left" vertical="top" wrapText="1"/>
    </xf>
    <xf numFmtId="0" fontId="11" fillId="14" borderId="8" applyNumberFormat="0" applyAlignment="0" applyProtection="0"/>
    <xf numFmtId="0" fontId="12" fillId="12" borderId="10">
      <alignment vertical="center" wrapText="1"/>
    </xf>
    <xf numFmtId="167" fontId="5" fillId="0" borderId="0" applyFont="0" applyFill="0" applyBorder="0" applyAlignment="0" applyProtection="0"/>
    <xf numFmtId="49" fontId="25" fillId="7" borderId="12" applyBorder="0">
      <alignment horizontal="left" vertical="top"/>
    </xf>
    <xf numFmtId="49" fontId="25" fillId="7" borderId="17" applyBorder="0">
      <alignment horizontal="left" vertical="top"/>
    </xf>
  </cellStyleXfs>
  <cellXfs count="2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16" fontId="2" fillId="0" borderId="0" xfId="0" quotePrefix="1" applyNumberFormat="1" applyFont="1"/>
    <xf numFmtId="0" fontId="0" fillId="0" borderId="0" xfId="0" quotePrefix="1"/>
    <xf numFmtId="0" fontId="2" fillId="0" borderId="0" xfId="0" quotePrefix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" fontId="2" fillId="0" borderId="0" xfId="79" applyNumberFormat="1" applyFont="1" applyFill="1" applyAlignment="1">
      <alignment horizontal="left" vertical="center"/>
    </xf>
    <xf numFmtId="1" fontId="2" fillId="21" borderId="0" xfId="79" applyNumberFormat="1" applyFont="1" applyFill="1" applyAlignment="1">
      <alignment horizontal="left" vertical="center"/>
    </xf>
    <xf numFmtId="1" fontId="0" fillId="0" borderId="0" xfId="0" applyNumberFormat="1" applyAlignment="1">
      <alignment horizontal="left"/>
    </xf>
    <xf numFmtId="2" fontId="2" fillId="0" borderId="0" xfId="0" quotePrefix="1" applyNumberFormat="1" applyFont="1"/>
    <xf numFmtId="0" fontId="3" fillId="21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20" borderId="0" xfId="0" applyFill="1"/>
    <xf numFmtId="0" fontId="1" fillId="0" borderId="0" xfId="0" applyFont="1"/>
    <xf numFmtId="49" fontId="0" fillId="5" borderId="0" xfId="0" applyNumberFormat="1" applyFill="1" applyAlignment="1">
      <alignment horizontal="left"/>
    </xf>
    <xf numFmtId="49" fontId="0" fillId="20" borderId="0" xfId="0" applyNumberFormat="1" applyFill="1" applyAlignment="1">
      <alignment horizontal="left"/>
    </xf>
    <xf numFmtId="0" fontId="0" fillId="21" borderId="0" xfId="0" applyFill="1"/>
    <xf numFmtId="0" fontId="0" fillId="30" borderId="0" xfId="0" applyFill="1"/>
    <xf numFmtId="1" fontId="0" fillId="21" borderId="0" xfId="0" applyNumberFormat="1" applyFill="1"/>
  </cellXfs>
  <cellStyles count="163">
    <cellStyle name="A-Calc-Beschreibung" xfId="2" xr:uid="{00000000-0005-0000-0000-000000000000}"/>
    <cellStyle name="A-DB_Überschr_1" xfId="3" xr:uid="{00000000-0005-0000-0000-000001000000}"/>
    <cellStyle name="A-DB-Beschr_Ergebnis" xfId="4" xr:uid="{00000000-0005-0000-0000-000002000000}"/>
    <cellStyle name="A-DB-Beschreibung" xfId="5" xr:uid="{00000000-0005-0000-0000-000003000000}"/>
    <cellStyle name="A-DB-Beschreibung 2" xfId="94" xr:uid="{00000000-0005-0000-0000-000004000000}"/>
    <cellStyle name="A-DB-Beschreibung 2 2" xfId="138" xr:uid="{00000000-0005-0000-0000-000005000000}"/>
    <cellStyle name="A-DB-Beschreibung 2 2 2" xfId="156" xr:uid="{00000000-0005-0000-0000-000006000000}"/>
    <cellStyle name="A-DB-Beschreibung 2 3" xfId="119" xr:uid="{00000000-0005-0000-0000-000007000000}"/>
    <cellStyle name="A-DB-Beschreibung 2 4" xfId="148" xr:uid="{00000000-0005-0000-0000-000008000000}"/>
    <cellStyle name="A-DB-Beschreibung 3" xfId="89" xr:uid="{00000000-0005-0000-0000-000009000000}"/>
    <cellStyle name="A-DB-Beschreibung 3 2" xfId="117" xr:uid="{00000000-0005-0000-0000-00000A000000}"/>
    <cellStyle name="A-DB-Beschreibung 3 3" xfId="146" xr:uid="{00000000-0005-0000-0000-00000B000000}"/>
    <cellStyle name="A-DB-Tabellenkopf" xfId="6" xr:uid="{00000000-0005-0000-0000-00000C000000}"/>
    <cellStyle name="A-DB-Überschr_2" xfId="7" xr:uid="{00000000-0005-0000-0000-00000D000000}"/>
    <cellStyle name="A-DB-Wert" xfId="8" xr:uid="{00000000-0005-0000-0000-00000E000000}"/>
    <cellStyle name="A-Eingabe" xfId="9" xr:uid="{00000000-0005-0000-0000-00000F000000}"/>
    <cellStyle name="A-Eingabe 2" xfId="53" xr:uid="{00000000-0005-0000-0000-000010000000}"/>
    <cellStyle name="A-Eingabe weiß" xfId="49" xr:uid="{00000000-0005-0000-0000-000011000000}"/>
    <cellStyle name="A-Eingabe_Prozent" xfId="10" xr:uid="{00000000-0005-0000-0000-000012000000}"/>
    <cellStyle name="A-Eingabebereich" xfId="11" xr:uid="{00000000-0005-0000-0000-000013000000}"/>
    <cellStyle name="A-Eingabe-inaktiv" xfId="56" xr:uid="{00000000-0005-0000-0000-000014000000}"/>
    <cellStyle name="A-Eingabe-inaktiv 2" xfId="109" xr:uid="{00000000-0005-0000-0000-000015000000}"/>
    <cellStyle name="A-Eingabe-inaktiv 2 2" xfId="162" xr:uid="{00000000-0005-0000-0000-000016000000}"/>
    <cellStyle name="A-Eingabe-inaktiv 2 3" xfId="161" xr:uid="{00000000-0005-0000-0000-000017000000}"/>
    <cellStyle name="A-Eingabe-Liste" xfId="12" xr:uid="{00000000-0005-0000-0000-000018000000}"/>
    <cellStyle name="A-Ergebnis" xfId="13" xr:uid="{00000000-0005-0000-0000-000019000000}"/>
    <cellStyle name="A-Hintergrund" xfId="14" xr:uid="{00000000-0005-0000-0000-00001A000000}"/>
    <cellStyle name="A-In-Bezug" xfId="15" xr:uid="{00000000-0005-0000-0000-00001B000000}"/>
    <cellStyle name="A-In-Bezug 2" xfId="103" xr:uid="{00000000-0005-0000-0000-00001C000000}"/>
    <cellStyle name="A-In-Var_Wert" xfId="16" xr:uid="{00000000-0005-0000-0000-00001D000000}"/>
    <cellStyle name="A-In-Var-name" xfId="17" xr:uid="{00000000-0005-0000-0000-00001E000000}"/>
    <cellStyle name="A-Liste" xfId="18" xr:uid="{00000000-0005-0000-0000-00001F000000}"/>
    <cellStyle name="A-Liste 2" xfId="54" xr:uid="{00000000-0005-0000-0000-000020000000}"/>
    <cellStyle name="B-Arbeitshilfen" xfId="39" xr:uid="{00000000-0005-0000-0000-000021000000}"/>
    <cellStyle name="B-Beleuchtung" xfId="35" xr:uid="{00000000-0005-0000-0000-000022000000}"/>
    <cellStyle name="B-Dampf" xfId="32" xr:uid="{00000000-0005-0000-0000-000023000000}"/>
    <cellStyle name="B-DiverseTechnik" xfId="48" xr:uid="{00000000-0005-0000-0000-000024000000}"/>
    <cellStyle name="B-Heizung" xfId="37" xr:uid="{00000000-0005-0000-0000-000025000000}"/>
    <cellStyle name="B-Hilfsenergie" xfId="46" xr:uid="{00000000-0005-0000-0000-000026000000}"/>
    <cellStyle name="B-Hz+WW" xfId="36" xr:uid="{00000000-0005-0000-0000-000027000000}"/>
    <cellStyle name="B-Kälte" xfId="33" xr:uid="{00000000-0005-0000-0000-000028000000}"/>
    <cellStyle name="B-Luftförderung" xfId="34" xr:uid="{00000000-0005-0000-0000-000029000000}"/>
    <cellStyle name="B-Warmwasser" xfId="38" xr:uid="{00000000-0005-0000-0000-00002A000000}"/>
    <cellStyle name="B-ZentraleDienste" xfId="47" xr:uid="{00000000-0005-0000-0000-00002B000000}"/>
    <cellStyle name="C- Zone" xfId="43" xr:uid="{00000000-0005-0000-0000-00002C000000}"/>
    <cellStyle name="C- Zone 2" xfId="61" xr:uid="{00000000-0005-0000-0000-00002D000000}"/>
    <cellStyle name="C- Zone 2 2" xfId="67" xr:uid="{00000000-0005-0000-0000-00002E000000}"/>
    <cellStyle name="C- Zone 3" xfId="63" xr:uid="{00000000-0005-0000-0000-00002F000000}"/>
    <cellStyle name="C- Zone 3 2" xfId="69" xr:uid="{00000000-0005-0000-0000-000030000000}"/>
    <cellStyle name="C- Zone 4" xfId="64" xr:uid="{00000000-0005-0000-0000-000031000000}"/>
    <cellStyle name="C-Bereich" xfId="42" xr:uid="{00000000-0005-0000-0000-000032000000}"/>
    <cellStyle name="C-Erzeuger" xfId="41" xr:uid="{00000000-0005-0000-0000-000033000000}"/>
    <cellStyle name="C-Gebäude" xfId="40" xr:uid="{00000000-0005-0000-0000-000034000000}"/>
    <cellStyle name="D-Legende" xfId="44" xr:uid="{00000000-0005-0000-0000-000035000000}"/>
    <cellStyle name="D-Wert" xfId="45" xr:uid="{00000000-0005-0000-0000-000036000000}"/>
    <cellStyle name="Eingabe 2" xfId="50" xr:uid="{00000000-0005-0000-0000-000037000000}"/>
    <cellStyle name="Eingabe 2 2" xfId="75" xr:uid="{00000000-0005-0000-0000-000038000000}"/>
    <cellStyle name="Eingabe 2 2 2" xfId="105" xr:uid="{00000000-0005-0000-0000-000039000000}"/>
    <cellStyle name="Eingabe 2 3" xfId="93" xr:uid="{00000000-0005-0000-0000-00003A000000}"/>
    <cellStyle name="Eingabe 2 3 2" xfId="83" xr:uid="{00000000-0005-0000-0000-00003B000000}"/>
    <cellStyle name="Eingabe 3 (Schutz)" xfId="59" xr:uid="{00000000-0005-0000-0000-00003C000000}"/>
    <cellStyle name="Eingabe 3 (Schutz) 2" xfId="81" xr:uid="{00000000-0005-0000-0000-00003D000000}"/>
    <cellStyle name="Eingabe oder Formel" xfId="20" xr:uid="{00000000-0005-0000-0000-00003E000000}"/>
    <cellStyle name="Eingabe oder Formel 2" xfId="85" xr:uid="{00000000-0005-0000-0000-00003F000000}"/>
    <cellStyle name="Eingabe oder Formel 2 2" xfId="90" xr:uid="{00000000-0005-0000-0000-000040000000}"/>
    <cellStyle name="Eingabe1" xfId="21" xr:uid="{00000000-0005-0000-0000-000041000000}"/>
    <cellStyle name="Eingabe1 2" xfId="91" xr:uid="{00000000-0005-0000-0000-000042000000}"/>
    <cellStyle name="Euro" xfId="22" xr:uid="{00000000-0005-0000-0000-000043000000}"/>
    <cellStyle name="Euro 2" xfId="160" xr:uid="{00000000-0005-0000-0000-000044000000}"/>
    <cellStyle name="Formel" xfId="23" xr:uid="{00000000-0005-0000-0000-000045000000}"/>
    <cellStyle name="Formel 2" xfId="86" xr:uid="{00000000-0005-0000-0000-000046000000}"/>
    <cellStyle name="Formel 2 2" xfId="102" xr:uid="{00000000-0005-0000-0000-000047000000}"/>
    <cellStyle name="Input" xfId="24" xr:uid="{00000000-0005-0000-0000-000048000000}"/>
    <cellStyle name="Input 2" xfId="99" xr:uid="{00000000-0005-0000-0000-000049000000}"/>
    <cellStyle name="Input 2 2" xfId="142" xr:uid="{00000000-0005-0000-0000-00004A000000}"/>
    <cellStyle name="Input 2 2 2" xfId="158" xr:uid="{00000000-0005-0000-0000-00004B000000}"/>
    <cellStyle name="Input 2 3" xfId="124" xr:uid="{00000000-0005-0000-0000-00004C000000}"/>
    <cellStyle name="Input 2 4" xfId="151" xr:uid="{00000000-0005-0000-0000-00004D000000}"/>
    <cellStyle name="Input 3" xfId="104" xr:uid="{00000000-0005-0000-0000-00004E000000}"/>
    <cellStyle name="Input 3 2" xfId="153" xr:uid="{00000000-0005-0000-0000-00004F000000}"/>
    <cellStyle name="Komma 2" xfId="65" xr:uid="{00000000-0005-0000-0000-000050000000}"/>
    <cellStyle name="Komma 3" xfId="70" xr:uid="{00000000-0005-0000-0000-000051000000}"/>
    <cellStyle name="Komma 4" xfId="84" xr:uid="{00000000-0005-0000-0000-000052000000}"/>
    <cellStyle name="Komma 5" xfId="19" xr:uid="{00000000-0005-0000-0000-000053000000}"/>
    <cellStyle name="label" xfId="25" xr:uid="{00000000-0005-0000-0000-000054000000}"/>
    <cellStyle name="Label 2" xfId="51" xr:uid="{00000000-0005-0000-0000-000055000000}"/>
    <cellStyle name="Label 2 2" xfId="96" xr:uid="{00000000-0005-0000-0000-000056000000}"/>
    <cellStyle name="Label 2 2 2" xfId="139" xr:uid="{00000000-0005-0000-0000-000057000000}"/>
    <cellStyle name="Label 2 2 2 2" xfId="157" xr:uid="{00000000-0005-0000-0000-000058000000}"/>
    <cellStyle name="Label 2 2 3" xfId="121" xr:uid="{00000000-0005-0000-0000-000059000000}"/>
    <cellStyle name="Label 2 2 4" xfId="150" xr:uid="{00000000-0005-0000-0000-00005A000000}"/>
    <cellStyle name="Label 2 3" xfId="82" xr:uid="{00000000-0005-0000-0000-00005B000000}"/>
    <cellStyle name="Label 2 3 2" xfId="106" xr:uid="{00000000-0005-0000-0000-00005C000000}"/>
    <cellStyle name="label 3" xfId="87" xr:uid="{00000000-0005-0000-0000-00005D000000}"/>
    <cellStyle name="label 3 2" xfId="100" xr:uid="{00000000-0005-0000-0000-00005E000000}"/>
    <cellStyle name="label 3 2 2" xfId="143" xr:uid="{00000000-0005-0000-0000-00005F000000}"/>
    <cellStyle name="label 3 2 2 2" xfId="159" xr:uid="{00000000-0005-0000-0000-000060000000}"/>
    <cellStyle name="label 3 2 3" xfId="125" xr:uid="{00000000-0005-0000-0000-000061000000}"/>
    <cellStyle name="label 3 2 4" xfId="152" xr:uid="{00000000-0005-0000-0000-000062000000}"/>
    <cellStyle name="label 3 3" xfId="80" xr:uid="{00000000-0005-0000-0000-000063000000}"/>
    <cellStyle name="label 3 3 2" xfId="107" xr:uid="{00000000-0005-0000-0000-000064000000}"/>
    <cellStyle name="label 4" xfId="130" xr:uid="{00000000-0005-0000-0000-000065000000}"/>
    <cellStyle name="label 4 2" xfId="154" xr:uid="{00000000-0005-0000-0000-000066000000}"/>
    <cellStyle name="label 5" xfId="108" xr:uid="{00000000-0005-0000-0000-000067000000}"/>
    <cellStyle name="label 6" xfId="116" xr:uid="{00000000-0005-0000-0000-000068000000}"/>
    <cellStyle name="mod" xfId="128" xr:uid="{00000000-0005-0000-0000-000069000000}"/>
    <cellStyle name="Neutral 2" xfId="66" xr:uid="{00000000-0005-0000-0000-00006A000000}"/>
    <cellStyle name="Neutral 3" xfId="71" xr:uid="{00000000-0005-0000-0000-00006B000000}"/>
    <cellStyle name="Neutral 4" xfId="88" xr:uid="{00000000-0005-0000-0000-00006C000000}"/>
    <cellStyle name="Neutral 5" xfId="26" xr:uid="{00000000-0005-0000-0000-00006D000000}"/>
    <cellStyle name="Normal_STANDARD" xfId="27" xr:uid="{00000000-0005-0000-0000-00006E000000}"/>
    <cellStyle name="Notiz 2" xfId="55" xr:uid="{00000000-0005-0000-0000-00006F000000}"/>
    <cellStyle name="Notiz 3" xfId="60" xr:uid="{00000000-0005-0000-0000-000070000000}"/>
    <cellStyle name="Notiz 3 2" xfId="62" xr:uid="{00000000-0005-0000-0000-000071000000}"/>
    <cellStyle name="Notiz 3 2 2" xfId="68" xr:uid="{00000000-0005-0000-0000-000072000000}"/>
    <cellStyle name="Notiz 3 2 2 2" xfId="101" xr:uid="{00000000-0005-0000-0000-000073000000}"/>
    <cellStyle name="Notiz 3 2 2 2 2" xfId="144" xr:uid="{00000000-0005-0000-0000-000074000000}"/>
    <cellStyle name="Notiz 3 2 2 2 3" xfId="126" xr:uid="{00000000-0005-0000-0000-000075000000}"/>
    <cellStyle name="Notiz 3 2 2 3" xfId="133" xr:uid="{00000000-0005-0000-0000-000076000000}"/>
    <cellStyle name="Notiz 3 2 2 4" xfId="112" xr:uid="{00000000-0005-0000-0000-000077000000}"/>
    <cellStyle name="Notiz 3 2 3" xfId="98" xr:uid="{00000000-0005-0000-0000-000078000000}"/>
    <cellStyle name="Notiz 3 2 3 2" xfId="141" xr:uid="{00000000-0005-0000-0000-000079000000}"/>
    <cellStyle name="Notiz 3 2 3 3" xfId="123" xr:uid="{00000000-0005-0000-0000-00007A000000}"/>
    <cellStyle name="Notiz 3 2 4" xfId="132" xr:uid="{00000000-0005-0000-0000-00007B000000}"/>
    <cellStyle name="Notiz 3 2 5" xfId="111" xr:uid="{00000000-0005-0000-0000-00007C000000}"/>
    <cellStyle name="Notiz 3 3" xfId="97" xr:uid="{00000000-0005-0000-0000-00007D000000}"/>
    <cellStyle name="Notiz 3 3 2" xfId="140" xr:uid="{00000000-0005-0000-0000-00007E000000}"/>
    <cellStyle name="Notiz 3 3 3" xfId="122" xr:uid="{00000000-0005-0000-0000-00007F000000}"/>
    <cellStyle name="Notiz 3 4" xfId="131" xr:uid="{00000000-0005-0000-0000-000080000000}"/>
    <cellStyle name="Notiz 3 5" xfId="110" xr:uid="{00000000-0005-0000-0000-000081000000}"/>
    <cellStyle name="Notiz 4" xfId="74" xr:uid="{00000000-0005-0000-0000-000082000000}"/>
    <cellStyle name="Notiz 4 2" xfId="136" xr:uid="{00000000-0005-0000-0000-000083000000}"/>
    <cellStyle name="Notiz 4 3" xfId="115" xr:uid="{00000000-0005-0000-0000-000084000000}"/>
    <cellStyle name="Prozent 2" xfId="76" xr:uid="{00000000-0005-0000-0000-000085000000}"/>
    <cellStyle name="Prozent 3" xfId="73" xr:uid="{00000000-0005-0000-0000-000086000000}"/>
    <cellStyle name="Prozent 3 2" xfId="135" xr:uid="{00000000-0005-0000-0000-000087000000}"/>
    <cellStyle name="Prozent 3 3" xfId="114" xr:uid="{00000000-0005-0000-0000-000088000000}"/>
    <cellStyle name="Prozent 4" xfId="28" xr:uid="{00000000-0005-0000-0000-000089000000}"/>
    <cellStyle name="Standard" xfId="0" builtinId="0"/>
    <cellStyle name="Standard 10" xfId="129" xr:uid="{00000000-0005-0000-0000-00008B000000}"/>
    <cellStyle name="Standard 10 2" xfId="145" xr:uid="{00000000-0005-0000-0000-00008C000000}"/>
    <cellStyle name="Standard 2" xfId="77" xr:uid="{00000000-0005-0000-0000-00008D000000}"/>
    <cellStyle name="Standard 3" xfId="78" xr:uid="{00000000-0005-0000-0000-00008E000000}"/>
    <cellStyle name="Standard 4" xfId="72" xr:uid="{00000000-0005-0000-0000-00008F000000}"/>
    <cellStyle name="Standard 4 2" xfId="134" xr:uid="{00000000-0005-0000-0000-000090000000}"/>
    <cellStyle name="Standard 4 3" xfId="113" xr:uid="{00000000-0005-0000-0000-000091000000}"/>
    <cellStyle name="Standard 5" xfId="79" xr:uid="{00000000-0005-0000-0000-000092000000}"/>
    <cellStyle name="Standard 6" xfId="127" xr:uid="{00000000-0005-0000-0000-000093000000}"/>
    <cellStyle name="Standard 7" xfId="1" xr:uid="{00000000-0005-0000-0000-000094000000}"/>
    <cellStyle name="Standard 8" xfId="52" xr:uid="{00000000-0005-0000-0000-000095000000}"/>
    <cellStyle name="Text_Eingabe" xfId="57" xr:uid="{00000000-0005-0000-0000-000096000000}"/>
    <cellStyle name="Title" xfId="29" xr:uid="{00000000-0005-0000-0000-000097000000}"/>
    <cellStyle name="Total" xfId="30" xr:uid="{00000000-0005-0000-0000-000098000000}"/>
    <cellStyle name="Total 2" xfId="92" xr:uid="{00000000-0005-0000-0000-000099000000}"/>
    <cellStyle name="Total 2 2" xfId="137" xr:uid="{00000000-0005-0000-0000-00009A000000}"/>
    <cellStyle name="Total 2 2 2" xfId="155" xr:uid="{00000000-0005-0000-0000-00009B000000}"/>
    <cellStyle name="Total 2 3" xfId="118" xr:uid="{00000000-0005-0000-0000-00009C000000}"/>
    <cellStyle name="Total 2 4" xfId="147" xr:uid="{00000000-0005-0000-0000-00009D000000}"/>
    <cellStyle name="Total 3" xfId="95" xr:uid="{00000000-0005-0000-0000-00009E000000}"/>
    <cellStyle name="Total 3 2" xfId="120" xr:uid="{00000000-0005-0000-0000-00009F000000}"/>
    <cellStyle name="Total 3 3" xfId="149" xr:uid="{00000000-0005-0000-0000-0000A0000000}"/>
    <cellStyle name="Ueberschrift" xfId="31" xr:uid="{00000000-0005-0000-0000-0000A1000000}"/>
    <cellStyle name="Zahl_Eingabe" xfId="58" xr:uid="{00000000-0005-0000-0000-0000A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opLeftCell="A19" workbookViewId="0">
      <selection activeCell="A47" sqref="A27:A47"/>
    </sheetView>
  </sheetViews>
  <sheetFormatPr baseColWidth="10" defaultRowHeight="15" x14ac:dyDescent="0.25"/>
  <cols>
    <col min="1" max="1" width="79.42578125" customWidth="1"/>
    <col min="2" max="2" width="4.5703125" style="3" bestFit="1" customWidth="1"/>
    <col min="3" max="3" width="28.140625" customWidth="1"/>
    <col min="4" max="4" width="23.5703125" customWidth="1"/>
    <col min="5" max="5" width="25.85546875" customWidth="1"/>
    <col min="6" max="6" width="24.7109375" customWidth="1"/>
    <col min="7" max="8" width="11.42578125" customWidth="1"/>
  </cols>
  <sheetData>
    <row r="1" spans="1:9" x14ac:dyDescent="0.25">
      <c r="A1" s="1" t="s">
        <v>110</v>
      </c>
      <c r="B1" s="3" t="s">
        <v>89</v>
      </c>
      <c r="C1" t="s">
        <v>168</v>
      </c>
      <c r="D1" t="s">
        <v>169</v>
      </c>
      <c r="E1" t="s">
        <v>170</v>
      </c>
      <c r="F1" t="s">
        <v>171</v>
      </c>
      <c r="G1" t="s">
        <v>337</v>
      </c>
      <c r="H1" t="s">
        <v>338</v>
      </c>
    </row>
    <row r="2" spans="1:9" x14ac:dyDescent="0.25">
      <c r="A2" s="1" t="s">
        <v>90</v>
      </c>
      <c r="B2" s="3">
        <v>1</v>
      </c>
      <c r="C2" s="3">
        <v>70</v>
      </c>
      <c r="D2" s="3" t="s">
        <v>5</v>
      </c>
      <c r="E2" s="3" t="s">
        <v>6</v>
      </c>
      <c r="F2" s="3" t="s">
        <v>116</v>
      </c>
      <c r="G2" s="13">
        <v>7</v>
      </c>
      <c r="H2" s="13">
        <v>18</v>
      </c>
      <c r="I2">
        <v>0.114</v>
      </c>
    </row>
    <row r="3" spans="1:9" x14ac:dyDescent="0.25">
      <c r="A3" s="1" t="s">
        <v>92</v>
      </c>
      <c r="B3" s="3" t="s">
        <v>91</v>
      </c>
      <c r="C3" s="3">
        <v>70</v>
      </c>
      <c r="D3" s="3" t="s">
        <v>5</v>
      </c>
      <c r="E3" s="3" t="s">
        <v>6</v>
      </c>
      <c r="F3" s="3" t="s">
        <v>116</v>
      </c>
      <c r="G3" s="13">
        <v>7</v>
      </c>
      <c r="H3" s="13">
        <v>18</v>
      </c>
      <c r="I3">
        <v>8.5000000000000006E-2</v>
      </c>
    </row>
    <row r="4" spans="1:9" x14ac:dyDescent="0.25">
      <c r="A4" s="1" t="s">
        <v>94</v>
      </c>
      <c r="B4" s="3" t="s">
        <v>93</v>
      </c>
      <c r="C4" s="3">
        <v>70</v>
      </c>
      <c r="D4" s="3" t="s">
        <v>30</v>
      </c>
      <c r="E4" s="3" t="s">
        <v>105</v>
      </c>
      <c r="F4" s="3" t="s">
        <v>31</v>
      </c>
      <c r="G4" s="13">
        <v>7</v>
      </c>
      <c r="H4" s="13">
        <v>18</v>
      </c>
      <c r="I4">
        <v>1.9E-2</v>
      </c>
    </row>
    <row r="5" spans="1:9" x14ac:dyDescent="0.25">
      <c r="A5" s="1" t="s">
        <v>96</v>
      </c>
      <c r="B5" s="3" t="s">
        <v>95</v>
      </c>
      <c r="C5" s="3">
        <v>70</v>
      </c>
      <c r="D5" s="3" t="s">
        <v>172</v>
      </c>
      <c r="E5" s="3" t="s">
        <v>91</v>
      </c>
      <c r="F5" s="3" t="s">
        <v>93</v>
      </c>
      <c r="G5" s="13">
        <v>7</v>
      </c>
      <c r="H5" s="13">
        <v>18</v>
      </c>
      <c r="I5">
        <v>9.5000000000000001E-2</v>
      </c>
    </row>
    <row r="6" spans="1:9" x14ac:dyDescent="0.25">
      <c r="A6" s="1" t="s">
        <v>19</v>
      </c>
      <c r="B6" s="3" t="s">
        <v>97</v>
      </c>
      <c r="C6" s="3">
        <v>70</v>
      </c>
      <c r="D6" s="3" t="s">
        <v>20</v>
      </c>
      <c r="E6" s="3" t="s">
        <v>95</v>
      </c>
      <c r="F6" s="3" t="s">
        <v>21</v>
      </c>
      <c r="G6" s="13">
        <v>7</v>
      </c>
      <c r="H6" s="13">
        <v>18</v>
      </c>
    </row>
    <row r="7" spans="1:9" x14ac:dyDescent="0.25">
      <c r="A7" s="1" t="s">
        <v>99</v>
      </c>
      <c r="B7" s="3" t="s">
        <v>98</v>
      </c>
      <c r="C7" s="3">
        <v>70</v>
      </c>
      <c r="D7" s="3" t="s">
        <v>172</v>
      </c>
      <c r="E7" s="3" t="s">
        <v>91</v>
      </c>
      <c r="F7" s="3" t="s">
        <v>93</v>
      </c>
      <c r="G7" s="13">
        <v>8</v>
      </c>
      <c r="H7" s="13">
        <v>20</v>
      </c>
    </row>
    <row r="8" spans="1:9" x14ac:dyDescent="0.25">
      <c r="A8" s="1" t="s">
        <v>101</v>
      </c>
      <c r="B8" s="3" t="s">
        <v>100</v>
      </c>
      <c r="C8" s="3">
        <v>70</v>
      </c>
      <c r="D8" s="3" t="s">
        <v>173</v>
      </c>
      <c r="E8" s="3" t="s">
        <v>174</v>
      </c>
      <c r="F8" s="3" t="s">
        <v>175</v>
      </c>
      <c r="G8" s="13">
        <v>8</v>
      </c>
      <c r="H8" s="13">
        <v>20</v>
      </c>
    </row>
    <row r="9" spans="1:9" x14ac:dyDescent="0.25">
      <c r="A9" s="1" t="s">
        <v>242</v>
      </c>
      <c r="B9" s="3" t="s">
        <v>102</v>
      </c>
      <c r="C9" s="3" t="s">
        <v>176</v>
      </c>
      <c r="D9" s="3" t="s">
        <v>91</v>
      </c>
      <c r="E9" s="3" t="s">
        <v>95</v>
      </c>
      <c r="F9" s="3" t="s">
        <v>98</v>
      </c>
      <c r="G9" s="13">
        <v>8</v>
      </c>
      <c r="H9" s="13">
        <v>15</v>
      </c>
    </row>
    <row r="10" spans="1:9" x14ac:dyDescent="0.25">
      <c r="A10" s="1" t="s">
        <v>104</v>
      </c>
      <c r="B10" s="3" t="s">
        <v>103</v>
      </c>
      <c r="C10" s="3">
        <v>70</v>
      </c>
      <c r="D10" s="3" t="s">
        <v>91</v>
      </c>
      <c r="E10" s="3" t="s">
        <v>95</v>
      </c>
      <c r="F10" s="3" t="s">
        <v>98</v>
      </c>
      <c r="G10" s="13">
        <v>8</v>
      </c>
      <c r="H10" s="13">
        <v>18</v>
      </c>
      <c r="I10">
        <v>3.5999999999999997E-2</v>
      </c>
    </row>
    <row r="11" spans="1:9" x14ac:dyDescent="0.25">
      <c r="A11" s="1" t="s">
        <v>106</v>
      </c>
      <c r="B11" s="3" t="s">
        <v>105</v>
      </c>
      <c r="C11" s="2">
        <v>70</v>
      </c>
      <c r="D11" s="2" t="s">
        <v>91</v>
      </c>
      <c r="E11" s="2" t="s">
        <v>95</v>
      </c>
      <c r="F11" s="2" t="s">
        <v>98</v>
      </c>
      <c r="G11" s="13">
        <v>0</v>
      </c>
      <c r="H11" s="13">
        <v>24</v>
      </c>
    </row>
    <row r="12" spans="1:9" x14ac:dyDescent="0.25">
      <c r="A12" s="1" t="s">
        <v>108</v>
      </c>
      <c r="B12" s="3" t="s">
        <v>107</v>
      </c>
      <c r="C12" s="3" t="s">
        <v>177</v>
      </c>
      <c r="D12" s="3" t="s">
        <v>91</v>
      </c>
      <c r="E12" s="3" t="s">
        <v>95</v>
      </c>
      <c r="F12" s="3" t="s">
        <v>98</v>
      </c>
      <c r="G12" s="14">
        <v>21</v>
      </c>
      <c r="H12" s="14">
        <v>8</v>
      </c>
    </row>
    <row r="13" spans="1:9" x14ac:dyDescent="0.25">
      <c r="A13" s="1" t="s">
        <v>111</v>
      </c>
      <c r="B13" s="3" t="s">
        <v>109</v>
      </c>
      <c r="C13" s="3" t="s">
        <v>177</v>
      </c>
      <c r="D13" s="3" t="s">
        <v>172</v>
      </c>
      <c r="E13" s="3" t="s">
        <v>91</v>
      </c>
      <c r="F13" s="3" t="s">
        <v>93</v>
      </c>
      <c r="G13" s="13">
        <v>8</v>
      </c>
      <c r="H13" s="13">
        <v>15</v>
      </c>
    </row>
    <row r="14" spans="1:9" x14ac:dyDescent="0.25">
      <c r="A14" s="1" t="s">
        <v>112</v>
      </c>
      <c r="B14" s="3" t="s">
        <v>113</v>
      </c>
      <c r="C14" s="3" t="s">
        <v>177</v>
      </c>
      <c r="D14" s="3" t="s">
        <v>172</v>
      </c>
      <c r="E14" s="3" t="s">
        <v>91</v>
      </c>
      <c r="F14" s="3" t="s">
        <v>93</v>
      </c>
      <c r="G14" s="13">
        <v>10</v>
      </c>
      <c r="H14" s="13">
        <v>24</v>
      </c>
    </row>
    <row r="15" spans="1:9" x14ac:dyDescent="0.25">
      <c r="A15" s="1" t="s">
        <v>115</v>
      </c>
      <c r="B15" s="3" t="s">
        <v>114</v>
      </c>
      <c r="C15" s="3" t="s">
        <v>178</v>
      </c>
      <c r="D15" s="3" t="s">
        <v>179</v>
      </c>
      <c r="E15" s="3" t="s">
        <v>180</v>
      </c>
      <c r="F15" s="3" t="s">
        <v>181</v>
      </c>
      <c r="G15" s="13">
        <v>10</v>
      </c>
      <c r="H15" s="13">
        <v>23</v>
      </c>
    </row>
    <row r="16" spans="1:9" x14ac:dyDescent="0.25">
      <c r="A16" s="1" t="s">
        <v>117</v>
      </c>
      <c r="B16" s="3" t="s">
        <v>116</v>
      </c>
      <c r="C16" s="3" t="s">
        <v>178</v>
      </c>
      <c r="D16" s="3" t="s">
        <v>126</v>
      </c>
      <c r="E16" s="3" t="s">
        <v>148</v>
      </c>
      <c r="F16" s="3" t="s">
        <v>166</v>
      </c>
      <c r="G16" s="13">
        <v>10</v>
      </c>
      <c r="H16" s="13">
        <v>23</v>
      </c>
    </row>
    <row r="17" spans="1:9" x14ac:dyDescent="0.25">
      <c r="A17" s="1" t="s">
        <v>119</v>
      </c>
      <c r="B17" s="3" t="s">
        <v>118</v>
      </c>
      <c r="C17" s="3" t="s">
        <v>177</v>
      </c>
      <c r="D17" s="3" t="s">
        <v>182</v>
      </c>
      <c r="E17" s="3" t="s">
        <v>182</v>
      </c>
      <c r="F17" s="3" t="s">
        <v>182</v>
      </c>
      <c r="G17" s="13">
        <v>7</v>
      </c>
      <c r="H17" s="13">
        <v>18</v>
      </c>
      <c r="I17">
        <v>2.5999999999999999E-2</v>
      </c>
    </row>
    <row r="18" spans="1:9" x14ac:dyDescent="0.25">
      <c r="A18" s="1" t="s">
        <v>121</v>
      </c>
      <c r="B18" s="3" t="s">
        <v>120</v>
      </c>
      <c r="C18" s="3" t="s">
        <v>177</v>
      </c>
      <c r="D18" s="3" t="s">
        <v>172</v>
      </c>
      <c r="E18" s="3" t="s">
        <v>91</v>
      </c>
      <c r="F18" s="3" t="s">
        <v>93</v>
      </c>
      <c r="G18" s="13">
        <v>7</v>
      </c>
      <c r="H18" s="13">
        <v>18</v>
      </c>
      <c r="I18">
        <v>4.8000000000000001E-2</v>
      </c>
    </row>
    <row r="19" spans="1:9" x14ac:dyDescent="0.25">
      <c r="A19" s="1" t="s">
        <v>123</v>
      </c>
      <c r="B19" s="3" t="s">
        <v>122</v>
      </c>
      <c r="C19" s="3" t="s">
        <v>177</v>
      </c>
      <c r="D19" s="3" t="s">
        <v>182</v>
      </c>
      <c r="E19" s="3" t="s">
        <v>182</v>
      </c>
      <c r="F19" s="3" t="s">
        <v>182</v>
      </c>
      <c r="G19" s="13">
        <v>7</v>
      </c>
      <c r="H19" s="13">
        <v>18</v>
      </c>
      <c r="I19">
        <v>1.7000000000000001E-2</v>
      </c>
    </row>
    <row r="20" spans="1:9" x14ac:dyDescent="0.25">
      <c r="A20" s="1" t="s">
        <v>125</v>
      </c>
      <c r="B20" s="3" t="s">
        <v>124</v>
      </c>
      <c r="C20" s="3" t="s">
        <v>177</v>
      </c>
      <c r="D20" s="3" t="s">
        <v>182</v>
      </c>
      <c r="E20" s="3" t="s">
        <v>182</v>
      </c>
      <c r="F20" s="3" t="s">
        <v>182</v>
      </c>
      <c r="G20" s="13">
        <v>7</v>
      </c>
      <c r="H20" s="13">
        <v>18</v>
      </c>
      <c r="I20">
        <v>0.249</v>
      </c>
    </row>
    <row r="21" spans="1:9" x14ac:dyDescent="0.25">
      <c r="A21" s="1" t="s">
        <v>127</v>
      </c>
      <c r="B21" s="3" t="s">
        <v>126</v>
      </c>
      <c r="C21" s="3" t="s">
        <v>177</v>
      </c>
      <c r="D21" s="3" t="s">
        <v>182</v>
      </c>
      <c r="E21" s="3" t="s">
        <v>182</v>
      </c>
      <c r="F21" s="3" t="s">
        <v>182</v>
      </c>
      <c r="G21" s="13">
        <v>7</v>
      </c>
      <c r="H21" s="13">
        <v>18</v>
      </c>
      <c r="I21">
        <v>0.16500000000000001</v>
      </c>
    </row>
    <row r="22" spans="1:9" x14ac:dyDescent="0.25">
      <c r="A22" s="1" t="s">
        <v>17</v>
      </c>
      <c r="B22" s="3" t="s">
        <v>128</v>
      </c>
      <c r="C22" s="3" t="s">
        <v>177</v>
      </c>
      <c r="D22" s="3" t="s">
        <v>183</v>
      </c>
      <c r="E22" s="3" t="s">
        <v>184</v>
      </c>
      <c r="F22" s="3" t="s">
        <v>185</v>
      </c>
      <c r="G22" s="13">
        <v>0</v>
      </c>
      <c r="H22" s="13">
        <v>24</v>
      </c>
    </row>
    <row r="23" spans="1:9" x14ac:dyDescent="0.25">
      <c r="A23" s="1" t="s">
        <v>130</v>
      </c>
      <c r="B23" s="3" t="s">
        <v>129</v>
      </c>
      <c r="C23" s="3" t="s">
        <v>186</v>
      </c>
      <c r="D23" s="3" t="s">
        <v>137</v>
      </c>
      <c r="E23" s="3" t="s">
        <v>161</v>
      </c>
      <c r="F23" s="3" t="s">
        <v>187</v>
      </c>
      <c r="G23" s="13">
        <v>7</v>
      </c>
      <c r="H23" s="13">
        <v>16</v>
      </c>
    </row>
    <row r="24" spans="1:9" x14ac:dyDescent="0.25">
      <c r="A24" s="1" t="s">
        <v>131</v>
      </c>
      <c r="B24" s="3" t="s">
        <v>16</v>
      </c>
      <c r="C24" s="3" t="s">
        <v>188</v>
      </c>
      <c r="D24" s="3" t="s">
        <v>137</v>
      </c>
      <c r="E24" s="3" t="s">
        <v>161</v>
      </c>
      <c r="F24" s="3" t="s">
        <v>187</v>
      </c>
      <c r="G24" s="13">
        <v>7</v>
      </c>
      <c r="H24" s="13">
        <v>16</v>
      </c>
    </row>
    <row r="25" spans="1:9" x14ac:dyDescent="0.25">
      <c r="A25" s="1" t="s">
        <v>132</v>
      </c>
      <c r="B25" s="3" t="s">
        <v>33</v>
      </c>
      <c r="C25" s="3" t="s">
        <v>178</v>
      </c>
      <c r="D25" s="3" t="s">
        <v>137</v>
      </c>
      <c r="E25" s="3" t="s">
        <v>161</v>
      </c>
      <c r="F25" s="3" t="s">
        <v>187</v>
      </c>
      <c r="G25" s="13">
        <v>7</v>
      </c>
      <c r="H25" s="13">
        <v>16</v>
      </c>
      <c r="I25">
        <v>2.7E-2</v>
      </c>
    </row>
    <row r="26" spans="1:9" x14ac:dyDescent="0.25">
      <c r="A26" s="1" t="s">
        <v>134</v>
      </c>
      <c r="B26" s="3" t="s">
        <v>133</v>
      </c>
      <c r="C26" s="3" t="s">
        <v>177</v>
      </c>
      <c r="D26" s="3" t="s">
        <v>182</v>
      </c>
      <c r="E26" s="3" t="s">
        <v>182</v>
      </c>
      <c r="F26" s="3" t="s">
        <v>182</v>
      </c>
      <c r="G26" s="13">
        <v>19</v>
      </c>
      <c r="H26" s="13">
        <v>23</v>
      </c>
    </row>
    <row r="27" spans="1:9" x14ac:dyDescent="0.25">
      <c r="A27" s="1" t="s">
        <v>136</v>
      </c>
      <c r="B27" s="3" t="s">
        <v>135</v>
      </c>
      <c r="C27" s="3" t="s">
        <v>177</v>
      </c>
      <c r="D27" s="3" t="s">
        <v>182</v>
      </c>
      <c r="E27" s="3" t="s">
        <v>182</v>
      </c>
      <c r="F27" s="3" t="s">
        <v>182</v>
      </c>
      <c r="G27" s="13">
        <v>19</v>
      </c>
      <c r="H27" s="13">
        <v>23</v>
      </c>
    </row>
    <row r="28" spans="1:9" x14ac:dyDescent="0.25">
      <c r="A28" s="1" t="s">
        <v>189</v>
      </c>
      <c r="B28" s="3" t="s">
        <v>137</v>
      </c>
      <c r="C28" s="3" t="s">
        <v>177</v>
      </c>
      <c r="D28" s="3" t="s">
        <v>182</v>
      </c>
      <c r="E28" s="3" t="s">
        <v>182</v>
      </c>
      <c r="F28" s="3" t="s">
        <v>182</v>
      </c>
      <c r="G28" s="13">
        <v>13</v>
      </c>
      <c r="H28" s="13">
        <v>23</v>
      </c>
    </row>
    <row r="29" spans="1:9" x14ac:dyDescent="0.25">
      <c r="A29" s="1" t="s">
        <v>139</v>
      </c>
      <c r="B29" s="3" t="s">
        <v>138</v>
      </c>
      <c r="C29" s="3" t="s">
        <v>177</v>
      </c>
      <c r="D29" s="3" t="s">
        <v>172</v>
      </c>
      <c r="E29" s="3" t="s">
        <v>91</v>
      </c>
      <c r="F29" s="3" t="s">
        <v>93</v>
      </c>
      <c r="G29" s="13">
        <v>13</v>
      </c>
      <c r="H29" s="13">
        <v>18</v>
      </c>
    </row>
    <row r="30" spans="1:9" x14ac:dyDescent="0.25">
      <c r="A30" s="1" t="s">
        <v>141</v>
      </c>
      <c r="B30" s="3" t="s">
        <v>140</v>
      </c>
      <c r="C30" s="3" t="s">
        <v>177</v>
      </c>
      <c r="D30" s="3" t="s">
        <v>182</v>
      </c>
      <c r="E30" s="3" t="s">
        <v>182</v>
      </c>
      <c r="F30" s="3" t="s">
        <v>182</v>
      </c>
      <c r="G30" s="13">
        <v>10</v>
      </c>
      <c r="H30" s="13">
        <v>18</v>
      </c>
    </row>
    <row r="31" spans="1:9" x14ac:dyDescent="0.25">
      <c r="A31" s="1" t="s">
        <v>143</v>
      </c>
      <c r="B31" s="3" t="s">
        <v>142</v>
      </c>
      <c r="C31" s="3" t="s">
        <v>177</v>
      </c>
      <c r="D31" s="3" t="s">
        <v>182</v>
      </c>
      <c r="E31" s="3" t="s">
        <v>182</v>
      </c>
      <c r="F31" s="3" t="s">
        <v>182</v>
      </c>
      <c r="G31" s="13">
        <v>8</v>
      </c>
      <c r="H31" s="13">
        <v>20</v>
      </c>
      <c r="I31">
        <v>3.1E-2</v>
      </c>
    </row>
    <row r="32" spans="1:9" x14ac:dyDescent="0.25">
      <c r="A32" s="1" t="s">
        <v>144</v>
      </c>
      <c r="B32" s="3" t="s">
        <v>147</v>
      </c>
      <c r="C32" s="3" t="s">
        <v>177</v>
      </c>
      <c r="D32" s="3" t="s">
        <v>182</v>
      </c>
      <c r="E32" s="3" t="s">
        <v>182</v>
      </c>
      <c r="F32" s="3" t="s">
        <v>182</v>
      </c>
      <c r="G32" s="13">
        <v>8</v>
      </c>
      <c r="H32" s="13">
        <v>20</v>
      </c>
    </row>
    <row r="33" spans="1:9" x14ac:dyDescent="0.25">
      <c r="A33" s="1" t="s">
        <v>145</v>
      </c>
      <c r="B33" s="3" t="s">
        <v>148</v>
      </c>
      <c r="C33" s="3" t="s">
        <v>177</v>
      </c>
      <c r="D33" s="3" t="s">
        <v>182</v>
      </c>
      <c r="E33" s="3" t="s">
        <v>182</v>
      </c>
      <c r="F33" s="3" t="s">
        <v>182</v>
      </c>
      <c r="G33" s="13">
        <v>8</v>
      </c>
      <c r="H33" s="13">
        <v>20</v>
      </c>
    </row>
    <row r="34" spans="1:9" x14ac:dyDescent="0.25">
      <c r="A34" s="1" t="s">
        <v>146</v>
      </c>
      <c r="B34" s="3" t="s">
        <v>149</v>
      </c>
      <c r="C34" s="3" t="s">
        <v>190</v>
      </c>
      <c r="D34" s="3" t="s">
        <v>182</v>
      </c>
      <c r="E34" s="3" t="s">
        <v>182</v>
      </c>
      <c r="F34" s="3" t="s">
        <v>182</v>
      </c>
      <c r="G34" s="13">
        <v>8</v>
      </c>
      <c r="H34" s="13">
        <v>23</v>
      </c>
    </row>
    <row r="35" spans="1:9" x14ac:dyDescent="0.25">
      <c r="A35" s="1" t="s">
        <v>151</v>
      </c>
      <c r="B35" s="3" t="s">
        <v>150</v>
      </c>
      <c r="C35" s="3" t="s">
        <v>177</v>
      </c>
      <c r="D35" s="3" t="s">
        <v>182</v>
      </c>
      <c r="E35" s="3" t="s">
        <v>182</v>
      </c>
      <c r="F35" s="3" t="s">
        <v>182</v>
      </c>
      <c r="G35" s="13">
        <v>7</v>
      </c>
      <c r="H35" s="13">
        <v>18</v>
      </c>
    </row>
    <row r="36" spans="1:9" x14ac:dyDescent="0.25">
      <c r="A36" s="1" t="s">
        <v>152</v>
      </c>
      <c r="B36" s="3" t="s">
        <v>159</v>
      </c>
      <c r="C36" s="3" t="s">
        <v>177</v>
      </c>
      <c r="D36" s="3" t="s">
        <v>182</v>
      </c>
      <c r="E36" s="3" t="s">
        <v>182</v>
      </c>
      <c r="F36" s="3" t="s">
        <v>182</v>
      </c>
      <c r="G36" s="13">
        <v>9</v>
      </c>
      <c r="H36" s="13">
        <v>24</v>
      </c>
    </row>
    <row r="37" spans="1:9" x14ac:dyDescent="0.25">
      <c r="A37" s="1" t="s">
        <v>153</v>
      </c>
      <c r="B37" s="3" t="s">
        <v>160</v>
      </c>
      <c r="C37" s="3" t="s">
        <v>177</v>
      </c>
      <c r="D37" s="3" t="s">
        <v>166</v>
      </c>
      <c r="E37" s="3" t="s">
        <v>183</v>
      </c>
      <c r="F37" s="3" t="s">
        <v>176</v>
      </c>
      <c r="G37" s="13">
        <v>10</v>
      </c>
      <c r="H37" s="13">
        <v>22</v>
      </c>
    </row>
    <row r="38" spans="1:9" x14ac:dyDescent="0.25">
      <c r="A38" s="1" t="s">
        <v>14</v>
      </c>
      <c r="B38" s="3" t="s">
        <v>161</v>
      </c>
      <c r="C38" s="3" t="s">
        <v>191</v>
      </c>
      <c r="D38" s="3" t="s">
        <v>172</v>
      </c>
      <c r="E38" s="3" t="s">
        <v>91</v>
      </c>
      <c r="F38" s="3" t="s">
        <v>93</v>
      </c>
      <c r="G38" s="13">
        <v>8</v>
      </c>
      <c r="H38" s="13">
        <v>23</v>
      </c>
    </row>
    <row r="39" spans="1:9" x14ac:dyDescent="0.25">
      <c r="A39" s="1" t="s">
        <v>154</v>
      </c>
      <c r="B39" s="3" t="s">
        <v>162</v>
      </c>
      <c r="C39" s="3" t="s">
        <v>192</v>
      </c>
      <c r="D39" s="3" t="s">
        <v>98</v>
      </c>
      <c r="E39" s="3" t="s">
        <v>122</v>
      </c>
      <c r="F39" s="3" t="s">
        <v>193</v>
      </c>
      <c r="G39" s="13">
        <v>7</v>
      </c>
      <c r="H39" s="13">
        <v>18</v>
      </c>
      <c r="I39">
        <v>8.7999999999999995E-2</v>
      </c>
    </row>
    <row r="40" spans="1:9" x14ac:dyDescent="0.25">
      <c r="A40" s="1" t="s">
        <v>155</v>
      </c>
      <c r="B40" s="3" t="s">
        <v>163</v>
      </c>
      <c r="C40" s="3" t="s">
        <v>177</v>
      </c>
      <c r="D40" s="3" t="s">
        <v>95</v>
      </c>
      <c r="E40" s="3" t="s">
        <v>100</v>
      </c>
      <c r="F40" s="3" t="s">
        <v>105</v>
      </c>
      <c r="G40" s="13">
        <v>7</v>
      </c>
      <c r="H40" s="13">
        <v>18</v>
      </c>
    </row>
    <row r="41" spans="1:9" x14ac:dyDescent="0.25">
      <c r="A41" s="1" t="s">
        <v>156</v>
      </c>
      <c r="B41" s="3" t="s">
        <v>164</v>
      </c>
      <c r="C41" s="3" t="s">
        <v>177</v>
      </c>
      <c r="D41" s="3" t="s">
        <v>98</v>
      </c>
      <c r="E41" s="3" t="s">
        <v>21</v>
      </c>
      <c r="F41" s="3" t="s">
        <v>113</v>
      </c>
      <c r="G41" s="13">
        <v>0</v>
      </c>
      <c r="H41" s="13">
        <v>24</v>
      </c>
    </row>
    <row r="42" spans="1:9" x14ac:dyDescent="0.25">
      <c r="A42" s="1" t="s">
        <v>157</v>
      </c>
      <c r="B42" s="3" t="s">
        <v>165</v>
      </c>
      <c r="C42" s="3" t="s">
        <v>177</v>
      </c>
      <c r="D42" s="3" t="s">
        <v>182</v>
      </c>
      <c r="E42" s="3" t="s">
        <v>182</v>
      </c>
      <c r="F42" s="3" t="s">
        <v>182</v>
      </c>
      <c r="G42" s="13">
        <v>0</v>
      </c>
      <c r="H42" s="13">
        <v>24</v>
      </c>
    </row>
    <row r="43" spans="1:9" x14ac:dyDescent="0.25">
      <c r="A43" s="1" t="s">
        <v>158</v>
      </c>
      <c r="B43" s="3" t="s">
        <v>166</v>
      </c>
      <c r="C43" s="3" t="s">
        <v>177</v>
      </c>
      <c r="D43" s="3" t="s">
        <v>93</v>
      </c>
      <c r="E43" s="3" t="s">
        <v>97</v>
      </c>
      <c r="F43" s="3" t="s">
        <v>100</v>
      </c>
      <c r="G43" s="13">
        <v>8</v>
      </c>
      <c r="H43" s="13">
        <v>18</v>
      </c>
    </row>
    <row r="44" spans="1:9" x14ac:dyDescent="0.25">
      <c r="A44" s="1" t="s">
        <v>329</v>
      </c>
      <c r="B44" s="3" t="s">
        <v>167</v>
      </c>
      <c r="C44" s="3" t="s">
        <v>177</v>
      </c>
      <c r="D44" s="3" t="s">
        <v>182</v>
      </c>
      <c r="E44" s="3" t="s">
        <v>182</v>
      </c>
      <c r="F44" s="3" t="s">
        <v>182</v>
      </c>
      <c r="G44" s="13">
        <v>0</v>
      </c>
      <c r="H44" s="13">
        <v>24</v>
      </c>
    </row>
    <row r="45" spans="1:9" x14ac:dyDescent="0.25">
      <c r="A45" s="1" t="s">
        <v>348</v>
      </c>
      <c r="B45" s="1">
        <v>42</v>
      </c>
      <c r="C45" s="15">
        <v>80</v>
      </c>
      <c r="D45" s="3" t="s">
        <v>350</v>
      </c>
      <c r="E45" s="3" t="s">
        <v>352</v>
      </c>
      <c r="F45" s="3" t="s">
        <v>353</v>
      </c>
      <c r="G45" s="13">
        <v>0</v>
      </c>
      <c r="H45" s="13">
        <v>24</v>
      </c>
    </row>
    <row r="46" spans="1:9" x14ac:dyDescent="0.25">
      <c r="A46" s="1" t="s">
        <v>349</v>
      </c>
      <c r="B46" s="1">
        <v>43</v>
      </c>
      <c r="C46" s="15">
        <v>80</v>
      </c>
      <c r="D46" s="3" t="s">
        <v>351</v>
      </c>
      <c r="E46" s="3" t="s">
        <v>199</v>
      </c>
      <c r="F46" s="3" t="s">
        <v>354</v>
      </c>
      <c r="G46" s="13">
        <v>0</v>
      </c>
      <c r="H46" s="13">
        <v>24</v>
      </c>
    </row>
    <row r="47" spans="1:9" x14ac:dyDescent="0.25">
      <c r="A47" s="1" t="s">
        <v>343</v>
      </c>
      <c r="B47" s="1">
        <v>44</v>
      </c>
      <c r="C47" s="15">
        <v>80</v>
      </c>
      <c r="D47" s="3" t="s">
        <v>57</v>
      </c>
      <c r="E47" s="3" t="s">
        <v>198</v>
      </c>
      <c r="F47" s="3" t="s">
        <v>355</v>
      </c>
      <c r="G47" s="13">
        <v>0</v>
      </c>
      <c r="H47" s="13">
        <v>24</v>
      </c>
    </row>
    <row r="48" spans="1:9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A19" zoomScale="85" zoomScaleNormal="85" workbookViewId="0">
      <selection activeCell="A49" sqref="A49"/>
    </sheetView>
  </sheetViews>
  <sheetFormatPr baseColWidth="10" defaultRowHeight="15" x14ac:dyDescent="0.25"/>
  <cols>
    <col min="1" max="1" width="34.85546875" bestFit="1" customWidth="1"/>
    <col min="2" max="2" width="22.7109375" bestFit="1" customWidth="1"/>
    <col min="3" max="3" width="8.5703125" bestFit="1" customWidth="1"/>
    <col min="4" max="4" width="28.140625" bestFit="1" customWidth="1"/>
    <col min="5" max="5" width="28.42578125" bestFit="1" customWidth="1"/>
    <col min="6" max="6" width="28" bestFit="1" customWidth="1"/>
    <col min="7" max="7" width="27.7109375" bestFit="1" customWidth="1"/>
    <col min="8" max="8" width="17.28515625" bestFit="1" customWidth="1"/>
    <col min="9" max="9" width="18.140625" bestFit="1" customWidth="1"/>
  </cols>
  <sheetData>
    <row r="1" spans="1:10" x14ac:dyDescent="0.25">
      <c r="A1" t="s">
        <v>110</v>
      </c>
      <c r="B1" t="s">
        <v>211</v>
      </c>
      <c r="C1" t="s">
        <v>89</v>
      </c>
      <c r="D1" t="s">
        <v>168</v>
      </c>
      <c r="E1" t="s">
        <v>239</v>
      </c>
      <c r="F1" t="s">
        <v>240</v>
      </c>
      <c r="G1" t="s">
        <v>241</v>
      </c>
      <c r="H1" t="s">
        <v>337</v>
      </c>
      <c r="I1" t="s">
        <v>338</v>
      </c>
      <c r="J1" t="s">
        <v>356</v>
      </c>
    </row>
    <row r="2" spans="1:10" x14ac:dyDescent="0.25">
      <c r="A2" t="s">
        <v>344</v>
      </c>
      <c r="B2" t="s">
        <v>343</v>
      </c>
      <c r="C2" s="16" t="s">
        <v>346</v>
      </c>
      <c r="D2" s="3">
        <v>70</v>
      </c>
      <c r="E2" s="3">
        <v>8</v>
      </c>
      <c r="F2" s="3">
        <v>4</v>
      </c>
      <c r="G2" s="3">
        <v>10</v>
      </c>
      <c r="H2" s="3">
        <v>0</v>
      </c>
      <c r="I2" s="3">
        <v>24</v>
      </c>
      <c r="J2" s="3">
        <v>1</v>
      </c>
    </row>
    <row r="3" spans="1:10" x14ac:dyDescent="0.25">
      <c r="A3" t="s">
        <v>345</v>
      </c>
      <c r="B3" t="s">
        <v>343</v>
      </c>
      <c r="C3" s="4" t="s">
        <v>347</v>
      </c>
      <c r="D3" s="3">
        <v>70</v>
      </c>
      <c r="E3" s="3">
        <v>8</v>
      </c>
      <c r="F3" s="3">
        <v>4</v>
      </c>
      <c r="G3" s="3">
        <v>10</v>
      </c>
      <c r="H3" s="3">
        <v>0</v>
      </c>
      <c r="I3" s="3">
        <v>24</v>
      </c>
      <c r="J3" s="3" t="s">
        <v>357</v>
      </c>
    </row>
    <row r="4" spans="1:10" x14ac:dyDescent="0.25">
      <c r="A4" t="s">
        <v>43</v>
      </c>
      <c r="B4" t="s">
        <v>229</v>
      </c>
      <c r="C4" s="4" t="s">
        <v>44</v>
      </c>
      <c r="D4" s="3">
        <v>70</v>
      </c>
      <c r="E4" s="3">
        <v>8</v>
      </c>
      <c r="F4" s="3">
        <v>4</v>
      </c>
      <c r="G4" s="3">
        <v>10</v>
      </c>
      <c r="H4" s="15">
        <v>17</v>
      </c>
      <c r="I4" s="15">
        <v>12</v>
      </c>
      <c r="J4" s="3" t="s">
        <v>358</v>
      </c>
    </row>
    <row r="5" spans="1:10" x14ac:dyDescent="0.25">
      <c r="A5" t="s">
        <v>212</v>
      </c>
      <c r="B5" t="s">
        <v>229</v>
      </c>
      <c r="C5" s="5" t="s">
        <v>194</v>
      </c>
      <c r="D5" s="3">
        <v>70</v>
      </c>
      <c r="E5" s="3">
        <v>7</v>
      </c>
      <c r="F5" s="3">
        <v>3</v>
      </c>
      <c r="G5" s="3">
        <v>15</v>
      </c>
      <c r="H5" s="15">
        <v>4</v>
      </c>
      <c r="I5" s="15">
        <v>24</v>
      </c>
      <c r="J5" s="3" t="s">
        <v>199</v>
      </c>
    </row>
    <row r="6" spans="1:10" x14ac:dyDescent="0.25">
      <c r="A6" t="s">
        <v>51</v>
      </c>
      <c r="B6" t="s">
        <v>230</v>
      </c>
      <c r="C6" s="6" t="s">
        <v>52</v>
      </c>
      <c r="D6" s="3">
        <v>70</v>
      </c>
      <c r="E6" s="3">
        <v>7</v>
      </c>
      <c r="F6" s="3">
        <v>3</v>
      </c>
      <c r="G6" s="3">
        <v>15</v>
      </c>
      <c r="H6" s="15">
        <v>7</v>
      </c>
      <c r="I6" s="15">
        <v>18</v>
      </c>
      <c r="J6" s="3" t="s">
        <v>359</v>
      </c>
    </row>
    <row r="7" spans="1:10" x14ac:dyDescent="0.25">
      <c r="A7" t="s">
        <v>49</v>
      </c>
      <c r="B7" t="s">
        <v>230</v>
      </c>
      <c r="C7" s="5" t="s">
        <v>50</v>
      </c>
      <c r="D7" s="3">
        <v>70</v>
      </c>
      <c r="E7" s="3">
        <v>10</v>
      </c>
      <c r="F7" s="3">
        <v>4</v>
      </c>
      <c r="G7" s="3">
        <v>19</v>
      </c>
      <c r="H7" s="15">
        <v>7</v>
      </c>
      <c r="I7" s="15">
        <v>18</v>
      </c>
      <c r="J7" s="3" t="s">
        <v>360</v>
      </c>
    </row>
    <row r="8" spans="1:10" x14ac:dyDescent="0.25">
      <c r="A8" t="s">
        <v>213</v>
      </c>
      <c r="B8" t="s">
        <v>230</v>
      </c>
      <c r="C8" s="5" t="s">
        <v>195</v>
      </c>
      <c r="D8" s="3">
        <v>70</v>
      </c>
      <c r="E8" s="3">
        <v>2</v>
      </c>
      <c r="F8" s="3">
        <v>1</v>
      </c>
      <c r="G8" s="3">
        <v>3</v>
      </c>
      <c r="H8" s="15">
        <v>9</v>
      </c>
      <c r="I8" s="15">
        <v>17</v>
      </c>
      <c r="J8" s="3" t="s">
        <v>109</v>
      </c>
    </row>
    <row r="9" spans="1:10" x14ac:dyDescent="0.25">
      <c r="A9" t="s">
        <v>87</v>
      </c>
      <c r="B9" t="s">
        <v>230</v>
      </c>
      <c r="C9" s="5" t="s">
        <v>88</v>
      </c>
      <c r="D9" s="3">
        <v>70</v>
      </c>
      <c r="E9" s="3">
        <v>4</v>
      </c>
      <c r="F9" s="3" t="s">
        <v>20</v>
      </c>
      <c r="G9" s="3" t="s">
        <v>21</v>
      </c>
      <c r="H9" s="15">
        <v>7</v>
      </c>
      <c r="I9" s="15">
        <v>18</v>
      </c>
      <c r="J9" s="3" t="s">
        <v>361</v>
      </c>
    </row>
    <row r="10" spans="1:10" x14ac:dyDescent="0.25">
      <c r="A10" t="s">
        <v>53</v>
      </c>
      <c r="B10" t="s">
        <v>231</v>
      </c>
      <c r="C10" s="6" t="s">
        <v>32</v>
      </c>
      <c r="D10" s="3">
        <v>70</v>
      </c>
      <c r="E10" s="3">
        <v>4</v>
      </c>
      <c r="F10" s="3">
        <v>2</v>
      </c>
      <c r="G10" s="3">
        <v>6</v>
      </c>
      <c r="H10" s="15">
        <v>7</v>
      </c>
      <c r="I10" s="15">
        <v>18</v>
      </c>
      <c r="J10" s="3" t="s">
        <v>70</v>
      </c>
    </row>
    <row r="11" spans="1:10" x14ac:dyDescent="0.25">
      <c r="A11" t="s">
        <v>214</v>
      </c>
      <c r="B11" t="s">
        <v>231</v>
      </c>
      <c r="C11" s="5" t="s">
        <v>30</v>
      </c>
      <c r="D11" s="3">
        <v>70</v>
      </c>
      <c r="E11" s="3">
        <v>4</v>
      </c>
      <c r="F11" s="3">
        <v>2</v>
      </c>
      <c r="G11" s="3">
        <v>6</v>
      </c>
      <c r="H11" s="15">
        <v>7</v>
      </c>
      <c r="I11" s="15">
        <v>18</v>
      </c>
      <c r="J11" s="3" t="s">
        <v>109</v>
      </c>
    </row>
    <row r="12" spans="1:10" x14ac:dyDescent="0.25">
      <c r="A12" t="s">
        <v>56</v>
      </c>
      <c r="B12" t="s">
        <v>231</v>
      </c>
      <c r="C12" s="6" t="s">
        <v>57</v>
      </c>
      <c r="D12" s="3">
        <v>70</v>
      </c>
      <c r="E12" s="3">
        <v>2</v>
      </c>
      <c r="F12" s="3">
        <v>1</v>
      </c>
      <c r="G12" s="3">
        <v>3</v>
      </c>
      <c r="H12" s="15">
        <v>7</v>
      </c>
      <c r="I12" s="15">
        <v>18</v>
      </c>
      <c r="J12" s="3" t="s">
        <v>199</v>
      </c>
    </row>
    <row r="13" spans="1:10" x14ac:dyDescent="0.25">
      <c r="A13" t="s">
        <v>54</v>
      </c>
      <c r="B13" t="s">
        <v>231</v>
      </c>
      <c r="C13" s="6" t="s">
        <v>55</v>
      </c>
      <c r="D13" s="3">
        <v>70</v>
      </c>
      <c r="E13" s="3">
        <v>4</v>
      </c>
      <c r="F13" s="3">
        <v>2</v>
      </c>
      <c r="G13" s="3">
        <v>6</v>
      </c>
      <c r="H13" s="15">
        <v>7</v>
      </c>
      <c r="I13" s="15">
        <v>18</v>
      </c>
      <c r="J13" s="3" t="s">
        <v>116</v>
      </c>
    </row>
    <row r="14" spans="1:10" x14ac:dyDescent="0.25">
      <c r="A14" t="s">
        <v>215</v>
      </c>
      <c r="B14" t="s">
        <v>231</v>
      </c>
      <c r="C14" s="5" t="s">
        <v>196</v>
      </c>
      <c r="D14" s="3">
        <v>70</v>
      </c>
      <c r="E14" s="3">
        <v>4</v>
      </c>
      <c r="F14" s="3" t="s">
        <v>20</v>
      </c>
      <c r="G14" s="3" t="s">
        <v>21</v>
      </c>
      <c r="H14" s="15">
        <v>7</v>
      </c>
      <c r="I14" s="15">
        <v>18</v>
      </c>
      <c r="J14" s="3" t="s">
        <v>98</v>
      </c>
    </row>
    <row r="15" spans="1:10" x14ac:dyDescent="0.25">
      <c r="A15" t="s">
        <v>79</v>
      </c>
      <c r="B15" t="s">
        <v>232</v>
      </c>
      <c r="C15" s="6" t="s">
        <v>80</v>
      </c>
      <c r="D15" s="3">
        <v>70</v>
      </c>
      <c r="E15" s="3">
        <v>-10</v>
      </c>
      <c r="F15" s="3">
        <v>-8</v>
      </c>
      <c r="G15" s="3">
        <v>-12</v>
      </c>
      <c r="H15" s="15">
        <v>7</v>
      </c>
      <c r="I15" s="15">
        <v>20</v>
      </c>
      <c r="J15" s="3" t="s">
        <v>362</v>
      </c>
    </row>
    <row r="16" spans="1:10" x14ac:dyDescent="0.25">
      <c r="A16" t="s">
        <v>83</v>
      </c>
      <c r="B16" t="s">
        <v>232</v>
      </c>
      <c r="C16" s="6" t="s">
        <v>84</v>
      </c>
      <c r="D16" s="3">
        <v>70</v>
      </c>
      <c r="E16" s="3">
        <v>2</v>
      </c>
      <c r="F16" s="3">
        <v>1</v>
      </c>
      <c r="G16" s="3">
        <v>3</v>
      </c>
      <c r="H16" s="15">
        <v>7</v>
      </c>
      <c r="I16" s="15">
        <v>20</v>
      </c>
      <c r="J16" s="3" t="s">
        <v>362</v>
      </c>
    </row>
    <row r="17" spans="1:10" x14ac:dyDescent="0.25">
      <c r="A17" t="s">
        <v>81</v>
      </c>
      <c r="B17" t="s">
        <v>232</v>
      </c>
      <c r="C17" s="5" t="s">
        <v>82</v>
      </c>
      <c r="D17" s="3">
        <v>70</v>
      </c>
      <c r="E17" s="3">
        <v>2</v>
      </c>
      <c r="F17" s="3">
        <v>1</v>
      </c>
      <c r="G17" s="3">
        <v>3</v>
      </c>
      <c r="H17" s="15">
        <v>7</v>
      </c>
      <c r="I17" s="15">
        <v>19</v>
      </c>
      <c r="J17" s="3" t="s">
        <v>91</v>
      </c>
    </row>
    <row r="18" spans="1:10" x14ac:dyDescent="0.25">
      <c r="A18" t="s">
        <v>45</v>
      </c>
      <c r="B18" t="s">
        <v>45</v>
      </c>
      <c r="C18" s="6" t="s">
        <v>46</v>
      </c>
      <c r="D18" s="3">
        <v>70</v>
      </c>
      <c r="E18" s="3">
        <v>2</v>
      </c>
      <c r="F18" s="3">
        <v>1</v>
      </c>
      <c r="G18" s="3">
        <v>3</v>
      </c>
      <c r="H18" s="15">
        <v>8</v>
      </c>
      <c r="I18" s="15">
        <v>24</v>
      </c>
      <c r="J18" s="3" t="s">
        <v>122</v>
      </c>
    </row>
    <row r="19" spans="1:10" x14ac:dyDescent="0.25">
      <c r="A19" t="s">
        <v>47</v>
      </c>
      <c r="B19" t="s">
        <v>45</v>
      </c>
      <c r="C19" s="5" t="s">
        <v>48</v>
      </c>
      <c r="D19" s="3">
        <v>70</v>
      </c>
      <c r="E19" s="3">
        <v>2</v>
      </c>
      <c r="F19" s="3">
        <v>1</v>
      </c>
      <c r="G19" s="3">
        <v>3</v>
      </c>
      <c r="H19" s="15">
        <v>8</v>
      </c>
      <c r="I19" s="15">
        <v>15</v>
      </c>
      <c r="J19" s="3" t="s">
        <v>122</v>
      </c>
    </row>
    <row r="20" spans="1:10" x14ac:dyDescent="0.25">
      <c r="A20" t="s">
        <v>216</v>
      </c>
      <c r="B20" t="s">
        <v>45</v>
      </c>
      <c r="C20" s="5" t="s">
        <v>197</v>
      </c>
      <c r="D20" s="3">
        <v>90</v>
      </c>
      <c r="E20" s="3">
        <v>200</v>
      </c>
      <c r="F20" s="3">
        <v>150</v>
      </c>
      <c r="G20" s="3">
        <v>250</v>
      </c>
      <c r="H20" s="15">
        <v>8</v>
      </c>
      <c r="I20" s="15">
        <v>23</v>
      </c>
      <c r="J20" s="3" t="s">
        <v>126</v>
      </c>
    </row>
    <row r="21" spans="1:10" x14ac:dyDescent="0.25">
      <c r="A21" t="s">
        <v>217</v>
      </c>
      <c r="B21" t="s">
        <v>45</v>
      </c>
      <c r="C21" s="5" t="s">
        <v>198</v>
      </c>
      <c r="D21" s="3">
        <v>90</v>
      </c>
      <c r="E21" s="3">
        <v>200</v>
      </c>
      <c r="F21" s="3">
        <v>150</v>
      </c>
      <c r="G21" s="3">
        <v>250</v>
      </c>
      <c r="H21" s="15">
        <v>7</v>
      </c>
      <c r="I21" s="15">
        <v>16</v>
      </c>
      <c r="J21" s="3" t="s">
        <v>126</v>
      </c>
    </row>
    <row r="22" spans="1:10" x14ac:dyDescent="0.25">
      <c r="A22" t="s">
        <v>60</v>
      </c>
      <c r="B22" t="s">
        <v>233</v>
      </c>
      <c r="C22" s="5" t="s">
        <v>6</v>
      </c>
      <c r="D22" s="3">
        <v>70</v>
      </c>
      <c r="E22" s="3">
        <v>2</v>
      </c>
      <c r="F22" s="3">
        <v>1</v>
      </c>
      <c r="G22" s="3">
        <v>3</v>
      </c>
      <c r="H22" s="15">
        <v>12</v>
      </c>
      <c r="I22" s="15">
        <v>24</v>
      </c>
      <c r="J22" s="3" t="s">
        <v>109</v>
      </c>
    </row>
    <row r="23" spans="1:10" x14ac:dyDescent="0.25">
      <c r="A23" t="s">
        <v>218</v>
      </c>
      <c r="B23" t="s">
        <v>233</v>
      </c>
      <c r="C23" s="5" t="s">
        <v>199</v>
      </c>
      <c r="D23" s="3">
        <v>70</v>
      </c>
      <c r="E23" s="3">
        <v>4</v>
      </c>
      <c r="F23" s="3">
        <v>2</v>
      </c>
      <c r="G23" s="3">
        <v>6</v>
      </c>
      <c r="H23" s="15">
        <v>7</v>
      </c>
      <c r="I23" s="15">
        <v>23</v>
      </c>
      <c r="J23" s="3" t="s">
        <v>109</v>
      </c>
    </row>
    <row r="24" spans="1:10" x14ac:dyDescent="0.25">
      <c r="A24" t="s">
        <v>58</v>
      </c>
      <c r="B24" t="s">
        <v>233</v>
      </c>
      <c r="C24" s="6" t="s">
        <v>59</v>
      </c>
      <c r="D24" s="3">
        <v>70</v>
      </c>
      <c r="E24" s="3">
        <v>7</v>
      </c>
      <c r="F24" s="3">
        <v>3</v>
      </c>
      <c r="G24" s="3">
        <v>15</v>
      </c>
      <c r="H24" s="15">
        <v>7</v>
      </c>
      <c r="I24" s="15">
        <v>23</v>
      </c>
      <c r="J24" s="3" t="s">
        <v>109</v>
      </c>
    </row>
    <row r="25" spans="1:10" x14ac:dyDescent="0.25">
      <c r="A25" t="s">
        <v>2</v>
      </c>
      <c r="B25" t="s">
        <v>234</v>
      </c>
      <c r="C25" s="5" t="s">
        <v>200</v>
      </c>
      <c r="D25" s="3">
        <v>70</v>
      </c>
      <c r="E25" s="3">
        <v>4</v>
      </c>
      <c r="F25" s="3">
        <v>2</v>
      </c>
      <c r="G25" s="3">
        <v>6</v>
      </c>
      <c r="H25" s="15">
        <v>0</v>
      </c>
      <c r="I25" s="15">
        <v>24</v>
      </c>
      <c r="J25" s="3" t="s">
        <v>358</v>
      </c>
    </row>
    <row r="26" spans="1:10" x14ac:dyDescent="0.25">
      <c r="A26" t="s">
        <v>219</v>
      </c>
      <c r="B26" t="s">
        <v>234</v>
      </c>
      <c r="C26" s="5" t="s">
        <v>201</v>
      </c>
      <c r="D26" s="3">
        <v>70</v>
      </c>
      <c r="E26" s="3">
        <v>7</v>
      </c>
      <c r="F26" s="3">
        <v>3</v>
      </c>
      <c r="G26" s="3">
        <v>15</v>
      </c>
      <c r="H26" s="15">
        <v>0</v>
      </c>
      <c r="I26" s="15">
        <v>24</v>
      </c>
      <c r="J26" s="3" t="s">
        <v>109</v>
      </c>
    </row>
    <row r="27" spans="1:10" x14ac:dyDescent="0.25">
      <c r="A27" t="s">
        <v>69</v>
      </c>
      <c r="B27" t="s">
        <v>234</v>
      </c>
      <c r="C27" s="5" t="s">
        <v>70</v>
      </c>
      <c r="D27" s="3">
        <v>70</v>
      </c>
      <c r="E27" s="3">
        <v>20</v>
      </c>
      <c r="F27" s="3">
        <v>10</v>
      </c>
      <c r="G27" s="3">
        <v>30</v>
      </c>
      <c r="H27" s="15">
        <v>7</v>
      </c>
      <c r="I27" s="15">
        <v>18</v>
      </c>
      <c r="J27" s="3" t="s">
        <v>199</v>
      </c>
    </row>
    <row r="28" spans="1:10" x14ac:dyDescent="0.25">
      <c r="A28" t="s">
        <v>71</v>
      </c>
      <c r="B28" t="s">
        <v>235</v>
      </c>
      <c r="C28" s="6" t="s">
        <v>72</v>
      </c>
      <c r="D28" s="3">
        <v>90</v>
      </c>
      <c r="E28" s="3">
        <v>10</v>
      </c>
      <c r="F28" s="3">
        <v>5</v>
      </c>
      <c r="G28" s="3">
        <v>15</v>
      </c>
      <c r="H28" s="15">
        <v>0</v>
      </c>
      <c r="I28" s="15">
        <v>24</v>
      </c>
      <c r="J28" s="3" t="s">
        <v>105</v>
      </c>
    </row>
    <row r="29" spans="1:10" x14ac:dyDescent="0.25">
      <c r="A29" t="s">
        <v>77</v>
      </c>
      <c r="B29" t="s">
        <v>235</v>
      </c>
      <c r="C29" s="5" t="s">
        <v>78</v>
      </c>
      <c r="D29" s="3">
        <v>70</v>
      </c>
      <c r="E29" s="3">
        <v>10</v>
      </c>
      <c r="F29" s="3">
        <v>5</v>
      </c>
      <c r="G29" s="3">
        <v>15</v>
      </c>
      <c r="H29" s="15">
        <v>7</v>
      </c>
      <c r="I29" s="15">
        <v>18</v>
      </c>
      <c r="J29" s="3" t="s">
        <v>105</v>
      </c>
    </row>
    <row r="30" spans="1:10" x14ac:dyDescent="0.25">
      <c r="A30" t="s">
        <v>220</v>
      </c>
      <c r="B30" t="s">
        <v>235</v>
      </c>
      <c r="C30" s="6" t="s">
        <v>202</v>
      </c>
      <c r="D30" s="3">
        <v>70</v>
      </c>
      <c r="E30" s="3">
        <v>20</v>
      </c>
      <c r="F30" s="3">
        <v>15</v>
      </c>
      <c r="G30" s="3">
        <v>25</v>
      </c>
      <c r="H30" s="15">
        <v>7</v>
      </c>
      <c r="I30" s="15">
        <v>18</v>
      </c>
      <c r="J30" s="3" t="s">
        <v>126</v>
      </c>
    </row>
    <row r="31" spans="1:10" x14ac:dyDescent="0.25">
      <c r="A31" t="s">
        <v>73</v>
      </c>
      <c r="B31" t="s">
        <v>236</v>
      </c>
      <c r="C31" s="5" t="s">
        <v>74</v>
      </c>
      <c r="D31" s="3">
        <v>90</v>
      </c>
      <c r="E31" s="3">
        <v>0</v>
      </c>
      <c r="F31" s="3">
        <v>0</v>
      </c>
      <c r="G31" s="3">
        <v>0</v>
      </c>
      <c r="H31" s="15">
        <v>0</v>
      </c>
      <c r="I31" s="15">
        <v>24</v>
      </c>
      <c r="J31" s="3" t="s">
        <v>20</v>
      </c>
    </row>
    <row r="32" spans="1:10" x14ac:dyDescent="0.25">
      <c r="A32" t="s">
        <v>63</v>
      </c>
      <c r="B32" t="s">
        <v>237</v>
      </c>
      <c r="C32" s="5" t="s">
        <v>64</v>
      </c>
      <c r="D32" s="3">
        <v>120</v>
      </c>
      <c r="E32" s="3">
        <v>0</v>
      </c>
      <c r="F32" s="3">
        <v>0</v>
      </c>
      <c r="G32" s="3">
        <v>0</v>
      </c>
      <c r="H32" s="15">
        <v>7</v>
      </c>
      <c r="I32" s="15">
        <v>23</v>
      </c>
      <c r="J32" s="3" t="s">
        <v>196</v>
      </c>
    </row>
    <row r="33" spans="1:10" x14ac:dyDescent="0.25">
      <c r="A33" t="s">
        <v>14</v>
      </c>
      <c r="B33" t="s">
        <v>237</v>
      </c>
      <c r="C33" s="6" t="s">
        <v>66</v>
      </c>
      <c r="D33" s="3">
        <v>120</v>
      </c>
      <c r="E33" s="3">
        <v>2</v>
      </c>
      <c r="F33" s="3">
        <v>1</v>
      </c>
      <c r="G33" s="3">
        <v>3</v>
      </c>
      <c r="H33" s="15">
        <v>7</v>
      </c>
      <c r="I33" s="15">
        <v>23</v>
      </c>
      <c r="J33" s="3" t="s">
        <v>103</v>
      </c>
    </row>
    <row r="34" spans="1:10" x14ac:dyDescent="0.25">
      <c r="A34" t="s">
        <v>12</v>
      </c>
      <c r="B34" t="s">
        <v>237</v>
      </c>
      <c r="C34" s="6" t="s">
        <v>65</v>
      </c>
      <c r="D34" s="3">
        <v>70</v>
      </c>
      <c r="E34" s="3">
        <v>2</v>
      </c>
      <c r="F34" s="3">
        <v>1</v>
      </c>
      <c r="G34" s="3">
        <v>3</v>
      </c>
      <c r="H34" s="15">
        <v>7</v>
      </c>
      <c r="I34" s="15">
        <v>23</v>
      </c>
      <c r="J34" s="3" t="s">
        <v>360</v>
      </c>
    </row>
    <row r="35" spans="1:10" x14ac:dyDescent="0.25">
      <c r="A35" t="s">
        <v>221</v>
      </c>
      <c r="B35" t="s">
        <v>238</v>
      </c>
      <c r="C35" s="5" t="s">
        <v>203</v>
      </c>
      <c r="D35" s="3">
        <v>70</v>
      </c>
      <c r="E35" s="3">
        <v>0</v>
      </c>
      <c r="F35" s="3">
        <v>0</v>
      </c>
      <c r="G35" s="3">
        <v>0</v>
      </c>
      <c r="H35" s="15">
        <v>6</v>
      </c>
      <c r="I35" s="15">
        <v>19</v>
      </c>
      <c r="J35" s="3" t="s">
        <v>91</v>
      </c>
    </row>
    <row r="36" spans="1:10" x14ac:dyDescent="0.25">
      <c r="A36" t="s">
        <v>222</v>
      </c>
      <c r="B36" t="s">
        <v>238</v>
      </c>
      <c r="C36" s="6" t="s">
        <v>204</v>
      </c>
      <c r="D36" s="3">
        <v>70</v>
      </c>
      <c r="E36" s="3">
        <v>0</v>
      </c>
      <c r="F36" s="3">
        <v>0</v>
      </c>
      <c r="G36" s="3">
        <v>0</v>
      </c>
      <c r="H36" s="15">
        <v>0</v>
      </c>
      <c r="I36" s="15">
        <v>24</v>
      </c>
      <c r="J36" s="3" t="s">
        <v>91</v>
      </c>
    </row>
    <row r="37" spans="1:10" x14ac:dyDescent="0.25">
      <c r="A37" t="s">
        <v>223</v>
      </c>
      <c r="B37" t="s">
        <v>238</v>
      </c>
      <c r="C37" s="6" t="s">
        <v>205</v>
      </c>
      <c r="D37" s="3">
        <v>70</v>
      </c>
      <c r="E37" s="3">
        <v>0</v>
      </c>
      <c r="F37" s="3">
        <v>0</v>
      </c>
      <c r="G37" s="3">
        <v>0</v>
      </c>
      <c r="H37" s="15">
        <v>6</v>
      </c>
      <c r="I37" s="15">
        <v>19</v>
      </c>
      <c r="J37" s="3" t="s">
        <v>91</v>
      </c>
    </row>
    <row r="38" spans="1:10" x14ac:dyDescent="0.25">
      <c r="A38" t="s">
        <v>61</v>
      </c>
      <c r="B38" t="s">
        <v>238</v>
      </c>
      <c r="C38" s="6" t="s">
        <v>62</v>
      </c>
      <c r="D38" s="3">
        <v>70</v>
      </c>
      <c r="E38" s="3">
        <v>0</v>
      </c>
      <c r="F38" s="3">
        <v>0</v>
      </c>
      <c r="G38" s="3">
        <v>0</v>
      </c>
      <c r="H38" s="15">
        <v>6</v>
      </c>
      <c r="I38" s="15">
        <v>19</v>
      </c>
      <c r="J38" s="3" t="s">
        <v>25</v>
      </c>
    </row>
    <row r="39" spans="1:10" x14ac:dyDescent="0.25">
      <c r="A39" t="s">
        <v>224</v>
      </c>
      <c r="B39" t="s">
        <v>238</v>
      </c>
      <c r="C39" s="6" t="s">
        <v>206</v>
      </c>
      <c r="D39" s="3">
        <v>70</v>
      </c>
      <c r="E39" s="3">
        <v>40</v>
      </c>
      <c r="F39" s="3">
        <v>30</v>
      </c>
      <c r="G39" s="3">
        <v>50</v>
      </c>
      <c r="H39" s="15">
        <v>7</v>
      </c>
      <c r="I39" s="15">
        <v>18</v>
      </c>
      <c r="J39" s="3" t="s">
        <v>126</v>
      </c>
    </row>
    <row r="40" spans="1:10" x14ac:dyDescent="0.25">
      <c r="A40" t="s">
        <v>225</v>
      </c>
      <c r="B40" t="s">
        <v>238</v>
      </c>
      <c r="C40" s="6" t="s">
        <v>207</v>
      </c>
      <c r="D40" s="3">
        <v>70</v>
      </c>
      <c r="E40" s="3">
        <v>0</v>
      </c>
      <c r="F40" s="3">
        <v>0</v>
      </c>
      <c r="G40" s="3">
        <v>0</v>
      </c>
      <c r="H40" s="15">
        <v>7</v>
      </c>
      <c r="I40" s="15">
        <v>18</v>
      </c>
      <c r="J40" s="3" t="s">
        <v>118</v>
      </c>
    </row>
    <row r="41" spans="1:10" x14ac:dyDescent="0.25">
      <c r="A41" t="s">
        <v>226</v>
      </c>
      <c r="B41" t="s">
        <v>238</v>
      </c>
      <c r="C41" s="6" t="s">
        <v>208</v>
      </c>
      <c r="D41" s="3">
        <v>70</v>
      </c>
      <c r="E41" s="3">
        <v>0</v>
      </c>
      <c r="F41" s="3">
        <v>0</v>
      </c>
      <c r="G41" s="3">
        <v>0</v>
      </c>
      <c r="H41" s="15">
        <v>7</v>
      </c>
      <c r="I41" s="15">
        <v>18</v>
      </c>
      <c r="J41" s="3" t="s">
        <v>102</v>
      </c>
    </row>
    <row r="42" spans="1:10" x14ac:dyDescent="0.25">
      <c r="A42" t="s">
        <v>67</v>
      </c>
      <c r="B42" t="s">
        <v>238</v>
      </c>
      <c r="C42" s="6" t="s">
        <v>68</v>
      </c>
      <c r="D42" s="3">
        <v>70</v>
      </c>
      <c r="E42" s="3">
        <v>0</v>
      </c>
      <c r="F42" s="3">
        <v>0</v>
      </c>
      <c r="G42" s="3">
        <v>0</v>
      </c>
      <c r="H42" s="15">
        <v>7</v>
      </c>
      <c r="I42" s="15">
        <v>18</v>
      </c>
      <c r="J42" s="3" t="s">
        <v>126</v>
      </c>
    </row>
    <row r="43" spans="1:10" x14ac:dyDescent="0.25">
      <c r="A43" t="s">
        <v>85</v>
      </c>
      <c r="B43" t="s">
        <v>238</v>
      </c>
      <c r="C43" s="6" t="s">
        <v>86</v>
      </c>
      <c r="D43" s="3">
        <v>70</v>
      </c>
      <c r="E43" s="3">
        <v>1</v>
      </c>
      <c r="F43" s="3" t="s">
        <v>25</v>
      </c>
      <c r="G43" s="3">
        <v>2</v>
      </c>
      <c r="H43" s="15">
        <v>7</v>
      </c>
      <c r="I43" s="15">
        <v>18</v>
      </c>
      <c r="J43" s="3" t="s">
        <v>91</v>
      </c>
    </row>
    <row r="44" spans="1:10" x14ac:dyDescent="0.25">
      <c r="A44" t="s">
        <v>227</v>
      </c>
      <c r="B44" t="s">
        <v>238</v>
      </c>
      <c r="C44" s="6" t="s">
        <v>209</v>
      </c>
      <c r="D44" s="3">
        <v>70</v>
      </c>
      <c r="E44" s="3" t="s">
        <v>126</v>
      </c>
      <c r="F44" s="3" t="s">
        <v>116</v>
      </c>
      <c r="G44" s="3" t="s">
        <v>137</v>
      </c>
      <c r="H44" s="15">
        <v>7</v>
      </c>
      <c r="I44" s="15">
        <v>18</v>
      </c>
      <c r="J44" s="3" t="s">
        <v>95</v>
      </c>
    </row>
    <row r="45" spans="1:10" x14ac:dyDescent="0.25">
      <c r="A45" t="s">
        <v>228</v>
      </c>
      <c r="B45" t="s">
        <v>238</v>
      </c>
      <c r="C45" s="6" t="s">
        <v>210</v>
      </c>
      <c r="D45" s="3">
        <v>70</v>
      </c>
      <c r="E45" s="3" t="s">
        <v>182</v>
      </c>
      <c r="F45" s="3" t="s">
        <v>182</v>
      </c>
      <c r="G45" s="3" t="s">
        <v>182</v>
      </c>
      <c r="H45" s="15"/>
      <c r="I45" s="15"/>
      <c r="J45" s="3"/>
    </row>
    <row r="46" spans="1:10" x14ac:dyDescent="0.25">
      <c r="A46" t="s">
        <v>75</v>
      </c>
      <c r="B46" t="s">
        <v>238</v>
      </c>
      <c r="C46" s="6" t="s">
        <v>76</v>
      </c>
      <c r="D46" s="3">
        <v>70</v>
      </c>
      <c r="E46" s="3" t="s">
        <v>188</v>
      </c>
      <c r="F46" s="3" t="s">
        <v>183</v>
      </c>
      <c r="G46" s="3" t="s">
        <v>184</v>
      </c>
      <c r="H46" s="15">
        <v>7</v>
      </c>
      <c r="I46" s="15">
        <v>18</v>
      </c>
      <c r="J46" s="3" t="s">
        <v>91</v>
      </c>
    </row>
  </sheetData>
  <pageMargins left="0.7" right="0.7" top="0.78740157499999996" bottom="0.78740157499999996" header="0.3" footer="0.3"/>
  <ignoredErrors>
    <ignoredError sqref="E44:G44 E45:E46 F45:F46 G45:G4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26E7-8D06-484A-999B-A7F5390D6780}">
  <dimension ref="A1:BJ112"/>
  <sheetViews>
    <sheetView zoomScale="55" zoomScaleNormal="55"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D113" sqref="D113"/>
    </sheetView>
  </sheetViews>
  <sheetFormatPr baseColWidth="10" defaultRowHeight="15" x14ac:dyDescent="0.25"/>
  <cols>
    <col min="2" max="2" width="16.28515625" customWidth="1"/>
    <col min="3" max="3" width="81.140625" bestFit="1" customWidth="1"/>
    <col min="4" max="4" width="116.42578125" bestFit="1" customWidth="1"/>
    <col min="6" max="15" width="12.7109375" bestFit="1" customWidth="1"/>
    <col min="16" max="18" width="11.5703125" bestFit="1" customWidth="1"/>
    <col min="19" max="19" width="12.7109375" bestFit="1" customWidth="1"/>
    <col min="20" max="20" width="11.5703125" bestFit="1" customWidth="1"/>
    <col min="21" max="21" width="12.7109375" bestFit="1" customWidth="1"/>
    <col min="22" max="22" width="13.5703125" bestFit="1" customWidth="1"/>
    <col min="23" max="23" width="13.28515625" bestFit="1" customWidth="1"/>
    <col min="24" max="24" width="15.85546875" bestFit="1" customWidth="1"/>
    <col min="25" max="26" width="13.85546875" bestFit="1" customWidth="1"/>
    <col min="27" max="29" width="12.7109375" bestFit="1" customWidth="1"/>
    <col min="30" max="31" width="11.5703125" bestFit="1" customWidth="1"/>
    <col min="32" max="32" width="12.7109375" bestFit="1" customWidth="1"/>
    <col min="33" max="33" width="13.42578125" bestFit="1" customWidth="1"/>
    <col min="34" max="35" width="12.7109375" customWidth="1"/>
  </cols>
  <sheetData>
    <row r="1" spans="1:62" x14ac:dyDescent="0.25">
      <c r="A1" s="3" t="s">
        <v>371</v>
      </c>
      <c r="B1" t="s">
        <v>372</v>
      </c>
      <c r="C1" t="s">
        <v>373</v>
      </c>
      <c r="D1" t="s">
        <v>374</v>
      </c>
      <c r="E1" t="s">
        <v>371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I1" t="str">
        <f>F1</f>
        <v>t_start</v>
      </c>
      <c r="AJ1" t="str">
        <f t="shared" ref="AJ1:BJ1" si="0">G1</f>
        <v>t_end</v>
      </c>
      <c r="AK1" t="str">
        <f t="shared" si="0"/>
        <v>t_nutz_d</v>
      </c>
      <c r="AL1" t="str">
        <f t="shared" si="0"/>
        <v>d_nutz_a</v>
      </c>
      <c r="AM1" t="str">
        <f t="shared" si="0"/>
        <v>t_Tag</v>
      </c>
      <c r="AN1" t="str">
        <f t="shared" si="0"/>
        <v>t_Nacht</v>
      </c>
      <c r="AO1" t="str">
        <f t="shared" si="0"/>
        <v>t_v_op_d</v>
      </c>
      <c r="AP1" t="str">
        <f t="shared" si="0"/>
        <v>d_op_a</v>
      </c>
      <c r="AQ1" t="str">
        <f t="shared" si="0"/>
        <v>t_h_op_d</v>
      </c>
      <c r="AR1" t="str">
        <f t="shared" si="0"/>
        <v>E_m</v>
      </c>
      <c r="AS1" t="str">
        <f t="shared" si="0"/>
        <v>h_Ne</v>
      </c>
      <c r="AT1" t="str">
        <f t="shared" si="0"/>
        <v>k_A</v>
      </c>
      <c r="AU1" t="str">
        <f t="shared" si="0"/>
        <v>C_A</v>
      </c>
      <c r="AV1" t="str">
        <f t="shared" si="0"/>
        <v>k</v>
      </c>
      <c r="AW1" t="str">
        <f t="shared" si="0"/>
        <v>F_t</v>
      </c>
      <c r="AX1" t="str">
        <f t="shared" si="0"/>
        <v>k_VB</v>
      </c>
      <c r="AY1" t="str">
        <f t="shared" si="0"/>
        <v>theta_i_h_soll</v>
      </c>
      <c r="AZ1" t="str">
        <f t="shared" si="0"/>
        <v>theta_i_c_soll</v>
      </c>
      <c r="BA1" t="str">
        <f t="shared" si="0"/>
        <v>deltaTheta_i_NA</v>
      </c>
      <c r="BB1" t="str">
        <f t="shared" si="0"/>
        <v>theta_i_h_min</v>
      </c>
      <c r="BC1" t="str">
        <f t="shared" si="0"/>
        <v>theta_i_c_max</v>
      </c>
      <c r="BD1" t="str">
        <f t="shared" si="0"/>
        <v>Feuchte</v>
      </c>
      <c r="BE1" t="str">
        <f t="shared" si="0"/>
        <v>Vd_A</v>
      </c>
      <c r="BF1" t="str">
        <f t="shared" si="0"/>
        <v>Vd_A_Geb</v>
      </c>
      <c r="BG1" t="str">
        <f t="shared" si="0"/>
        <v>c_RLT</v>
      </c>
      <c r="BH1" t="str">
        <f t="shared" si="0"/>
        <v>F_RLT</v>
      </c>
      <c r="BI1" t="str">
        <f t="shared" si="0"/>
        <v>q_I_p</v>
      </c>
      <c r="BJ1" t="str">
        <f t="shared" si="0"/>
        <v>q_I_fac</v>
      </c>
    </row>
    <row r="2" spans="1:62" x14ac:dyDescent="0.25">
      <c r="A2" s="3" t="s">
        <v>172</v>
      </c>
      <c r="B2" t="s">
        <v>403</v>
      </c>
      <c r="C2" t="s">
        <v>244</v>
      </c>
      <c r="D2" s="26"/>
      <c r="E2">
        <v>1</v>
      </c>
      <c r="F2">
        <v>6.7636032610000001</v>
      </c>
      <c r="G2">
        <v>18.345490559999998</v>
      </c>
      <c r="H2">
        <v>11.5818873</v>
      </c>
      <c r="I2">
        <v>256.56317899999999</v>
      </c>
      <c r="J2">
        <v>2622.4483420000001</v>
      </c>
      <c r="K2">
        <v>416.13091530000003</v>
      </c>
      <c r="L2">
        <v>13.195567840000001</v>
      </c>
      <c r="M2">
        <v>256.56317899999999</v>
      </c>
      <c r="N2">
        <v>13.13259658</v>
      </c>
      <c r="O2">
        <v>328.03460339999998</v>
      </c>
      <c r="P2">
        <v>0.69262896600000001</v>
      </c>
      <c r="Q2">
        <v>0.94388635700000001</v>
      </c>
      <c r="R2">
        <v>0.49809136799999998</v>
      </c>
      <c r="S2">
        <v>1.337932159</v>
      </c>
      <c r="T2">
        <v>0.87771348800000004</v>
      </c>
      <c r="U2">
        <v>1.1176933</v>
      </c>
      <c r="V2">
        <v>20.906347369999999</v>
      </c>
      <c r="W2">
        <v>24.03308835</v>
      </c>
      <c r="X2">
        <v>3.9706968790000001</v>
      </c>
      <c r="Y2">
        <v>19.9003792</v>
      </c>
      <c r="Z2">
        <v>26.03308835</v>
      </c>
      <c r="AA2">
        <v>0.59532714900000006</v>
      </c>
      <c r="AB2">
        <v>5.0131547469999997</v>
      </c>
      <c r="AC2">
        <v>1.7366067169999999</v>
      </c>
      <c r="AD2">
        <v>0.23036083900000001</v>
      </c>
      <c r="AE2">
        <v>0.86095231900000002</v>
      </c>
      <c r="AF2">
        <v>70.472123370000006</v>
      </c>
      <c r="AG2">
        <v>7.7181617620000003</v>
      </c>
      <c r="AI2" t="str">
        <f t="shared" ref="AI2:AI33" si="1">IF(MID(F2,2,1)=",",_xlfn.TEXTJOIN(".",FALSE,MID(F2,1,1),MID(F2,3,LEN(F2)-2)),IF(MID(F2,3,1)=",",_xlfn.TEXTJOIN(".",FALSE,MID(F2,1,2),MID(F2,4,LEN(F2)-3)),IF(MID(F2,4,1)=",",_xlfn.TEXTJOIN(".",FALSE,MID(F2,1,3),MID(F2,5,LEN(F2)-4)),IF(MID(F2,5,1)=",",_xlfn.TEXTJOIN(".",FALSE,MID(F2,1,4),MID(F2,6,LEN(F2)-5)),F2))))</f>
        <v>6.763603261</v>
      </c>
      <c r="AJ2" t="str">
        <f t="shared" ref="AJ2:BJ10" si="2">IF(MID(G2,2,1)=",",_xlfn.TEXTJOIN(".",FALSE,MID(G2,1,1),MID(G2,3,LEN(G2)-2)),IF(MID(G2,3,1)=",",_xlfn.TEXTJOIN(".",FALSE,MID(G2,1,2),MID(G2,4,LEN(G2)-3)),IF(MID(G2,4,1)=",",_xlfn.TEXTJOIN(".",FALSE,MID(G2,1,3),MID(G2,5,LEN(G2)-4)),IF(MID(G2,5,1)=",",_xlfn.TEXTJOIN(".",FALSE,MID(G2,1,4),MID(G2,6,LEN(G2)-5)),G2))))</f>
        <v>18.34549056</v>
      </c>
      <c r="AK2" t="str">
        <f t="shared" si="2"/>
        <v>11.5818873</v>
      </c>
      <c r="AL2" t="str">
        <f t="shared" si="2"/>
        <v>256.563179</v>
      </c>
      <c r="AM2" t="str">
        <f t="shared" si="2"/>
        <v>2622.448342</v>
      </c>
      <c r="AN2" t="str">
        <f t="shared" si="2"/>
        <v>416.1309153</v>
      </c>
      <c r="AO2" t="str">
        <f t="shared" si="2"/>
        <v>13.19556784</v>
      </c>
      <c r="AP2" t="str">
        <f t="shared" si="2"/>
        <v>256.563179</v>
      </c>
      <c r="AQ2" t="str">
        <f t="shared" si="2"/>
        <v>13.13259658</v>
      </c>
      <c r="AR2" t="str">
        <f t="shared" si="2"/>
        <v>328.0346034</v>
      </c>
      <c r="AS2" t="str">
        <f t="shared" si="2"/>
        <v>0.692628966</v>
      </c>
      <c r="AT2" t="str">
        <f t="shared" si="2"/>
        <v>0.943886357</v>
      </c>
      <c r="AU2" t="str">
        <f t="shared" si="2"/>
        <v>0.498091368</v>
      </c>
      <c r="AV2" t="str">
        <f t="shared" si="2"/>
        <v>1.337932159</v>
      </c>
      <c r="AW2" t="str">
        <f t="shared" si="2"/>
        <v>0.877713488</v>
      </c>
      <c r="AX2" t="str">
        <f t="shared" si="2"/>
        <v>1.1176933</v>
      </c>
      <c r="AY2" t="str">
        <f t="shared" si="2"/>
        <v>20.90634737</v>
      </c>
      <c r="AZ2" t="str">
        <f t="shared" si="2"/>
        <v>24.03308835</v>
      </c>
      <c r="BA2" t="str">
        <f t="shared" si="2"/>
        <v>3.970696879</v>
      </c>
      <c r="BB2" t="str">
        <f t="shared" si="2"/>
        <v>19.9003792</v>
      </c>
      <c r="BC2" t="str">
        <f t="shared" si="2"/>
        <v>26.03308835</v>
      </c>
      <c r="BD2" t="str">
        <f t="shared" si="2"/>
        <v>0.595327149</v>
      </c>
      <c r="BE2" t="str">
        <f t="shared" si="2"/>
        <v>5.013154747</v>
      </c>
      <c r="BF2" t="str">
        <f t="shared" si="2"/>
        <v>1.736606717</v>
      </c>
      <c r="BG2" t="str">
        <f t="shared" si="2"/>
        <v>0.230360839</v>
      </c>
      <c r="BH2" t="str">
        <f t="shared" si="2"/>
        <v>0.860952319</v>
      </c>
      <c r="BI2" t="str">
        <f t="shared" si="2"/>
        <v>70.47212337</v>
      </c>
      <c r="BJ2" t="str">
        <f t="shared" si="2"/>
        <v>7.718161762</v>
      </c>
    </row>
    <row r="3" spans="1:62" x14ac:dyDescent="0.25">
      <c r="A3" s="3" t="s">
        <v>91</v>
      </c>
      <c r="B3" t="s">
        <v>404</v>
      </c>
      <c r="C3" t="s">
        <v>244</v>
      </c>
      <c r="D3" t="s">
        <v>248</v>
      </c>
      <c r="E3">
        <v>2</v>
      </c>
      <c r="F3">
        <v>6.9260842660000002</v>
      </c>
      <c r="G3">
        <v>18.092084400000001</v>
      </c>
      <c r="H3">
        <v>11.16600013</v>
      </c>
      <c r="I3">
        <v>251.9721174</v>
      </c>
      <c r="J3">
        <v>2560.5102900000002</v>
      </c>
      <c r="K3">
        <v>272.296536</v>
      </c>
      <c r="L3">
        <v>13.066147859999999</v>
      </c>
      <c r="M3">
        <v>251.9721174</v>
      </c>
      <c r="N3">
        <v>13.066147859999999</v>
      </c>
      <c r="O3">
        <v>285.18518519999998</v>
      </c>
      <c r="P3">
        <v>0.63623623600000001</v>
      </c>
      <c r="Q3">
        <v>0.94729729699999998</v>
      </c>
      <c r="R3">
        <v>0.624975061</v>
      </c>
      <c r="S3">
        <v>1.094644645</v>
      </c>
      <c r="T3">
        <v>0.89057473399999998</v>
      </c>
      <c r="U3">
        <v>1.177591858</v>
      </c>
      <c r="V3">
        <v>21</v>
      </c>
      <c r="W3">
        <v>24</v>
      </c>
      <c r="X3">
        <v>3.995995996</v>
      </c>
      <c r="Y3">
        <v>20</v>
      </c>
      <c r="Z3">
        <v>26</v>
      </c>
      <c r="AA3">
        <v>0.46646646600000002</v>
      </c>
      <c r="AB3">
        <v>4.0341341340000003</v>
      </c>
      <c r="AC3">
        <v>1.4284284279999999</v>
      </c>
      <c r="AD3">
        <v>0.198427559</v>
      </c>
      <c r="AE3">
        <v>0.85069566600000002</v>
      </c>
      <c r="AF3">
        <v>70.035917389999994</v>
      </c>
      <c r="AG3">
        <v>4.6189164920000003</v>
      </c>
      <c r="AI3" t="str">
        <f t="shared" si="1"/>
        <v>6.926084266</v>
      </c>
      <c r="AJ3" t="str">
        <f t="shared" si="2"/>
        <v>18.0920844</v>
      </c>
      <c r="AK3" t="str">
        <f t="shared" si="2"/>
        <v>11.16600013</v>
      </c>
      <c r="AL3" t="str">
        <f t="shared" si="2"/>
        <v>251.9721174</v>
      </c>
      <c r="AM3" t="str">
        <f t="shared" si="2"/>
        <v>2560.51029</v>
      </c>
      <c r="AN3" t="str">
        <f t="shared" si="2"/>
        <v>272.296536</v>
      </c>
      <c r="AO3" t="str">
        <f t="shared" si="2"/>
        <v>13.06614786</v>
      </c>
      <c r="AP3" t="str">
        <f t="shared" si="2"/>
        <v>251.9721174</v>
      </c>
      <c r="AQ3" t="str">
        <f t="shared" si="2"/>
        <v>13.06614786</v>
      </c>
      <c r="AR3" t="str">
        <f t="shared" si="2"/>
        <v>285.1851852</v>
      </c>
      <c r="AS3" t="str">
        <f t="shared" si="2"/>
        <v>0.636236236</v>
      </c>
      <c r="AT3" t="str">
        <f t="shared" si="2"/>
        <v>0.947297297</v>
      </c>
      <c r="AU3" t="str">
        <f t="shared" si="2"/>
        <v>0.624975061</v>
      </c>
      <c r="AV3" t="str">
        <f t="shared" si="2"/>
        <v>1.094644645</v>
      </c>
      <c r="AW3" t="str">
        <f t="shared" si="2"/>
        <v>0.890574734</v>
      </c>
      <c r="AX3" t="str">
        <f t="shared" si="2"/>
        <v>1.177591858</v>
      </c>
      <c r="AY3">
        <f t="shared" si="2"/>
        <v>21</v>
      </c>
      <c r="AZ3">
        <f t="shared" si="2"/>
        <v>24</v>
      </c>
      <c r="BA3" t="str">
        <f t="shared" si="2"/>
        <v>3.995995996</v>
      </c>
      <c r="BB3">
        <f t="shared" si="2"/>
        <v>20</v>
      </c>
      <c r="BC3">
        <f t="shared" si="2"/>
        <v>26</v>
      </c>
      <c r="BD3" t="str">
        <f t="shared" si="2"/>
        <v>0.466466466</v>
      </c>
      <c r="BE3" t="str">
        <f t="shared" si="2"/>
        <v>4.034134134</v>
      </c>
      <c r="BF3" t="str">
        <f t="shared" si="2"/>
        <v>1.428428428</v>
      </c>
      <c r="BG3" t="str">
        <f t="shared" si="2"/>
        <v>0.198427559</v>
      </c>
      <c r="BH3" t="str">
        <f t="shared" si="2"/>
        <v>0.850695666</v>
      </c>
      <c r="BI3" t="str">
        <f t="shared" si="2"/>
        <v>70.03591739</v>
      </c>
      <c r="BJ3" t="str">
        <f t="shared" si="2"/>
        <v>4.618916492</v>
      </c>
    </row>
    <row r="4" spans="1:62" x14ac:dyDescent="0.25">
      <c r="A4" s="3" t="s">
        <v>93</v>
      </c>
      <c r="B4" t="s">
        <v>405</v>
      </c>
      <c r="C4" t="s">
        <v>244</v>
      </c>
      <c r="D4" t="s">
        <v>251</v>
      </c>
      <c r="E4">
        <v>3</v>
      </c>
      <c r="F4">
        <v>7.0342809009999998</v>
      </c>
      <c r="G4">
        <v>18.225193990000001</v>
      </c>
      <c r="H4">
        <v>11.19091309</v>
      </c>
      <c r="I4">
        <v>253.6628335</v>
      </c>
      <c r="J4">
        <v>2570.604022</v>
      </c>
      <c r="K4">
        <v>286.46176439999999</v>
      </c>
      <c r="L4">
        <v>13.105393060000001</v>
      </c>
      <c r="M4">
        <v>253.7217095</v>
      </c>
      <c r="N4">
        <v>13.104308700000001</v>
      </c>
      <c r="O4">
        <v>322.05154850000002</v>
      </c>
      <c r="P4">
        <v>0.68321986999999995</v>
      </c>
      <c r="Q4">
        <v>0.93675244499999999</v>
      </c>
      <c r="R4">
        <v>0.54056170599999998</v>
      </c>
      <c r="S4">
        <v>1.139429875</v>
      </c>
      <c r="T4">
        <v>0.87039775399999997</v>
      </c>
      <c r="U4">
        <v>1.1362350240000001</v>
      </c>
      <c r="V4">
        <v>20.986451349999999</v>
      </c>
      <c r="W4">
        <v>24.008127609999999</v>
      </c>
      <c r="X4">
        <v>4</v>
      </c>
      <c r="Y4">
        <v>19.986926010000001</v>
      </c>
      <c r="Z4">
        <v>26.008127609999999</v>
      </c>
      <c r="AA4">
        <v>0.57918781200000002</v>
      </c>
      <c r="AB4">
        <v>4.5429274639999999</v>
      </c>
      <c r="AC4">
        <v>1.6183657840000001</v>
      </c>
      <c r="AD4">
        <v>0.218665478</v>
      </c>
      <c r="AE4">
        <v>0.82790790400000003</v>
      </c>
      <c r="AF4">
        <v>70.152019069999994</v>
      </c>
      <c r="AG4">
        <v>5.7064879900000003</v>
      </c>
      <c r="AI4" t="str">
        <f t="shared" si="1"/>
        <v>7.034280901</v>
      </c>
      <c r="AJ4" t="str">
        <f t="shared" si="2"/>
        <v>18.22519399</v>
      </c>
      <c r="AK4" t="str">
        <f t="shared" si="2"/>
        <v>11.19091309</v>
      </c>
      <c r="AL4" t="str">
        <f t="shared" si="2"/>
        <v>253.6628335</v>
      </c>
      <c r="AM4" t="str">
        <f t="shared" si="2"/>
        <v>2570.604022</v>
      </c>
      <c r="AN4" t="str">
        <f t="shared" si="2"/>
        <v>286.4617644</v>
      </c>
      <c r="AO4" t="str">
        <f t="shared" si="2"/>
        <v>13.10539306</v>
      </c>
      <c r="AP4" t="str">
        <f t="shared" si="2"/>
        <v>253.7217095</v>
      </c>
      <c r="AQ4" t="str">
        <f t="shared" si="2"/>
        <v>13.1043087</v>
      </c>
      <c r="AR4" t="str">
        <f t="shared" si="2"/>
        <v>322.0515485</v>
      </c>
      <c r="AS4" t="str">
        <f t="shared" si="2"/>
        <v>0.68321987</v>
      </c>
      <c r="AT4" t="str">
        <f t="shared" si="2"/>
        <v>0.936752445</v>
      </c>
      <c r="AU4" t="str">
        <f t="shared" si="2"/>
        <v>0.540561706</v>
      </c>
      <c r="AV4" t="str">
        <f t="shared" si="2"/>
        <v>1.139429875</v>
      </c>
      <c r="AW4" t="str">
        <f t="shared" si="2"/>
        <v>0.870397754</v>
      </c>
      <c r="AX4" t="str">
        <f t="shared" si="2"/>
        <v>1.136235024</v>
      </c>
      <c r="AY4" t="str">
        <f t="shared" si="2"/>
        <v>20.98645135</v>
      </c>
      <c r="AZ4" t="str">
        <f t="shared" si="2"/>
        <v>24.00812761</v>
      </c>
      <c r="BA4">
        <f t="shared" si="2"/>
        <v>4</v>
      </c>
      <c r="BB4" t="str">
        <f t="shared" si="2"/>
        <v>19.98692601</v>
      </c>
      <c r="BC4" t="str">
        <f t="shared" si="2"/>
        <v>26.00812761</v>
      </c>
      <c r="BD4" t="str">
        <f t="shared" si="2"/>
        <v>0.579187812</v>
      </c>
      <c r="BE4" t="str">
        <f t="shared" si="2"/>
        <v>4.542927464</v>
      </c>
      <c r="BF4" t="str">
        <f t="shared" si="2"/>
        <v>1.618365784</v>
      </c>
      <c r="BG4" t="str">
        <f t="shared" si="2"/>
        <v>0.218665478</v>
      </c>
      <c r="BH4" t="str">
        <f t="shared" si="2"/>
        <v>0.827907904</v>
      </c>
      <c r="BI4" t="str">
        <f t="shared" si="2"/>
        <v>70.15201907</v>
      </c>
      <c r="BJ4" t="str">
        <f t="shared" si="2"/>
        <v>5.70648799</v>
      </c>
    </row>
    <row r="5" spans="1:62" x14ac:dyDescent="0.25">
      <c r="A5" s="3" t="s">
        <v>95</v>
      </c>
      <c r="B5" t="s">
        <v>406</v>
      </c>
      <c r="C5" t="s">
        <v>244</v>
      </c>
      <c r="D5" t="s">
        <v>250</v>
      </c>
      <c r="E5">
        <v>4</v>
      </c>
      <c r="F5">
        <v>6.5090056690000004</v>
      </c>
      <c r="G5">
        <v>18.563672480000001</v>
      </c>
      <c r="H5">
        <v>12.05466682</v>
      </c>
      <c r="I5">
        <v>261.808516</v>
      </c>
      <c r="J5">
        <v>2682.8721869999999</v>
      </c>
      <c r="K5">
        <v>588.18498220000004</v>
      </c>
      <c r="L5">
        <v>13.447432429999999</v>
      </c>
      <c r="M5">
        <v>261.86130739999999</v>
      </c>
      <c r="N5">
        <v>13.321280120000001</v>
      </c>
      <c r="O5">
        <v>301.63544899999999</v>
      </c>
      <c r="P5">
        <v>0.69158249199999999</v>
      </c>
      <c r="Q5">
        <v>0.94582126799999999</v>
      </c>
      <c r="R5">
        <v>0.51195063600000001</v>
      </c>
      <c r="S5">
        <v>1.3476810299999999</v>
      </c>
      <c r="T5">
        <v>0.87624442499999999</v>
      </c>
      <c r="U5">
        <v>1.1549883249999999</v>
      </c>
      <c r="V5">
        <v>20.821174509999999</v>
      </c>
      <c r="W5">
        <v>24.06886913</v>
      </c>
      <c r="X5">
        <v>3.9244843120000001</v>
      </c>
      <c r="Y5">
        <v>19.818475639999999</v>
      </c>
      <c r="Z5">
        <v>26.06886913</v>
      </c>
      <c r="AA5">
        <v>0.553046853</v>
      </c>
      <c r="AB5">
        <v>5.0473200839999999</v>
      </c>
      <c r="AC5">
        <v>1.64505594</v>
      </c>
      <c r="AD5">
        <v>0.23037560900000001</v>
      </c>
      <c r="AE5">
        <v>0.87816493600000001</v>
      </c>
      <c r="AF5">
        <v>70.835351739999993</v>
      </c>
      <c r="AG5">
        <v>8.1965335639999992</v>
      </c>
      <c r="AI5" t="str">
        <f t="shared" si="1"/>
        <v>6.509005669</v>
      </c>
      <c r="AJ5" t="str">
        <f t="shared" si="2"/>
        <v>18.56367248</v>
      </c>
      <c r="AK5" t="str">
        <f t="shared" si="2"/>
        <v>12.05466682</v>
      </c>
      <c r="AL5" t="str">
        <f t="shared" si="2"/>
        <v>261.808516</v>
      </c>
      <c r="AM5" t="str">
        <f t="shared" si="2"/>
        <v>2682.872187</v>
      </c>
      <c r="AN5" t="str">
        <f t="shared" si="2"/>
        <v>588.1849822</v>
      </c>
      <c r="AO5" t="str">
        <f t="shared" si="2"/>
        <v>13.44743243</v>
      </c>
      <c r="AP5" t="str">
        <f t="shared" si="2"/>
        <v>261.8613074</v>
      </c>
      <c r="AQ5" t="str">
        <f t="shared" si="2"/>
        <v>13.32128012</v>
      </c>
      <c r="AR5" t="str">
        <f t="shared" si="2"/>
        <v>301.635449</v>
      </c>
      <c r="AS5" t="str">
        <f t="shared" si="2"/>
        <v>0.691582492</v>
      </c>
      <c r="AT5" t="str">
        <f t="shared" si="2"/>
        <v>0.945821268</v>
      </c>
      <c r="AU5" t="str">
        <f t="shared" si="2"/>
        <v>0.511950636</v>
      </c>
      <c r="AV5" t="str">
        <f t="shared" si="2"/>
        <v>1.34768103</v>
      </c>
      <c r="AW5" t="str">
        <f t="shared" si="2"/>
        <v>0.876244425</v>
      </c>
      <c r="AX5" t="str">
        <f t="shared" si="2"/>
        <v>1.154988325</v>
      </c>
      <c r="AY5" t="str">
        <f t="shared" si="2"/>
        <v>20.82117451</v>
      </c>
      <c r="AZ5" t="str">
        <f t="shared" si="2"/>
        <v>24.06886913</v>
      </c>
      <c r="BA5" t="str">
        <f t="shared" si="2"/>
        <v>3.924484312</v>
      </c>
      <c r="BB5" t="str">
        <f t="shared" si="2"/>
        <v>19.81847564</v>
      </c>
      <c r="BC5" t="str">
        <f t="shared" si="2"/>
        <v>26.06886913</v>
      </c>
      <c r="BD5" t="str">
        <f t="shared" si="2"/>
        <v>0.553046853</v>
      </c>
      <c r="BE5" t="str">
        <f t="shared" si="2"/>
        <v>5.047320084</v>
      </c>
      <c r="BF5" t="str">
        <f t="shared" si="2"/>
        <v>1.64505594</v>
      </c>
      <c r="BG5" t="str">
        <f t="shared" si="2"/>
        <v>0.230375609</v>
      </c>
      <c r="BH5" t="str">
        <f t="shared" si="2"/>
        <v>0.878164936</v>
      </c>
      <c r="BI5" t="str">
        <f t="shared" si="2"/>
        <v>70.83535174</v>
      </c>
      <c r="BJ5" t="str">
        <f t="shared" si="2"/>
        <v>8.196533564</v>
      </c>
    </row>
    <row r="6" spans="1:62" x14ac:dyDescent="0.25">
      <c r="A6" s="3" t="s">
        <v>97</v>
      </c>
      <c r="B6" t="s">
        <v>407</v>
      </c>
      <c r="C6" t="s">
        <v>244</v>
      </c>
      <c r="D6" t="s">
        <v>249</v>
      </c>
      <c r="E6">
        <v>5</v>
      </c>
      <c r="F6">
        <v>6.5090056690000004</v>
      </c>
      <c r="G6">
        <v>18.563672480000001</v>
      </c>
      <c r="H6">
        <v>12.05466682</v>
      </c>
      <c r="I6">
        <v>261.808516</v>
      </c>
      <c r="J6">
        <v>2682.8721869999999</v>
      </c>
      <c r="K6">
        <v>588.18498220000004</v>
      </c>
      <c r="L6">
        <v>13.447432429999999</v>
      </c>
      <c r="M6">
        <v>261.86130739999999</v>
      </c>
      <c r="N6">
        <v>13.321280120000001</v>
      </c>
      <c r="O6">
        <v>301.63544899999999</v>
      </c>
      <c r="P6">
        <v>0.69158249199999999</v>
      </c>
      <c r="Q6">
        <v>0.94582126799999999</v>
      </c>
      <c r="R6">
        <v>0.51195063600000001</v>
      </c>
      <c r="S6">
        <v>1.3476810299999999</v>
      </c>
      <c r="T6">
        <v>0.87624442499999999</v>
      </c>
      <c r="U6">
        <v>1.1549883249999999</v>
      </c>
      <c r="V6">
        <v>20.821174509999999</v>
      </c>
      <c r="W6">
        <v>24.06886913</v>
      </c>
      <c r="X6">
        <v>3.9244843120000001</v>
      </c>
      <c r="Y6">
        <v>19.818475639999999</v>
      </c>
      <c r="Z6">
        <v>26.06886913</v>
      </c>
      <c r="AA6">
        <v>0.553046853</v>
      </c>
      <c r="AB6">
        <v>5.0473200839999999</v>
      </c>
      <c r="AC6">
        <v>1.64505594</v>
      </c>
      <c r="AD6">
        <v>0.23037560900000001</v>
      </c>
      <c r="AE6">
        <v>0.87816493600000001</v>
      </c>
      <c r="AF6">
        <v>70.835351739999993</v>
      </c>
      <c r="AG6">
        <v>8.1965335639999992</v>
      </c>
      <c r="AI6" t="str">
        <f t="shared" si="1"/>
        <v>6.509005669</v>
      </c>
      <c r="AJ6" t="str">
        <f t="shared" si="2"/>
        <v>18.56367248</v>
      </c>
      <c r="AK6" t="str">
        <f t="shared" si="2"/>
        <v>12.05466682</v>
      </c>
      <c r="AL6" t="str">
        <f t="shared" si="2"/>
        <v>261.808516</v>
      </c>
      <c r="AM6" t="str">
        <f t="shared" si="2"/>
        <v>2682.872187</v>
      </c>
      <c r="AN6" t="str">
        <f t="shared" si="2"/>
        <v>588.1849822</v>
      </c>
      <c r="AO6" t="str">
        <f t="shared" si="2"/>
        <v>13.44743243</v>
      </c>
      <c r="AP6" t="str">
        <f t="shared" si="2"/>
        <v>261.8613074</v>
      </c>
      <c r="AQ6" t="str">
        <f t="shared" si="2"/>
        <v>13.32128012</v>
      </c>
      <c r="AR6" t="str">
        <f t="shared" si="2"/>
        <v>301.635449</v>
      </c>
      <c r="AS6" t="str">
        <f t="shared" si="2"/>
        <v>0.691582492</v>
      </c>
      <c r="AT6" t="str">
        <f t="shared" si="2"/>
        <v>0.945821268</v>
      </c>
      <c r="AU6" t="str">
        <f t="shared" si="2"/>
        <v>0.511950636</v>
      </c>
      <c r="AV6" t="str">
        <f t="shared" si="2"/>
        <v>1.34768103</v>
      </c>
      <c r="AW6" t="str">
        <f t="shared" si="2"/>
        <v>0.876244425</v>
      </c>
      <c r="AX6" t="str">
        <f t="shared" si="2"/>
        <v>1.154988325</v>
      </c>
      <c r="AY6" t="str">
        <f t="shared" si="2"/>
        <v>20.82117451</v>
      </c>
      <c r="AZ6" t="str">
        <f t="shared" si="2"/>
        <v>24.06886913</v>
      </c>
      <c r="BA6" t="str">
        <f t="shared" si="2"/>
        <v>3.924484312</v>
      </c>
      <c r="BB6" t="str">
        <f t="shared" si="2"/>
        <v>19.81847564</v>
      </c>
      <c r="BC6" t="str">
        <f t="shared" si="2"/>
        <v>26.06886913</v>
      </c>
      <c r="BD6" t="str">
        <f t="shared" si="2"/>
        <v>0.553046853</v>
      </c>
      <c r="BE6" t="str">
        <f t="shared" si="2"/>
        <v>5.047320084</v>
      </c>
      <c r="BF6" t="str">
        <f t="shared" si="2"/>
        <v>1.64505594</v>
      </c>
      <c r="BG6" t="str">
        <f t="shared" si="2"/>
        <v>0.230375609</v>
      </c>
      <c r="BH6" t="str">
        <f t="shared" si="2"/>
        <v>0.878164936</v>
      </c>
      <c r="BI6" t="str">
        <f t="shared" si="2"/>
        <v>70.83535174</v>
      </c>
      <c r="BJ6" t="str">
        <f t="shared" si="2"/>
        <v>8.196533564</v>
      </c>
    </row>
    <row r="7" spans="1:62" x14ac:dyDescent="0.25">
      <c r="A7" s="3" t="s">
        <v>98</v>
      </c>
      <c r="B7" t="s">
        <v>408</v>
      </c>
      <c r="C7" t="s">
        <v>244</v>
      </c>
      <c r="D7" t="s">
        <v>252</v>
      </c>
      <c r="E7">
        <v>6</v>
      </c>
      <c r="F7">
        <v>5.9890125369999998</v>
      </c>
      <c r="G7">
        <v>18.86618155</v>
      </c>
      <c r="H7">
        <v>12.87716902</v>
      </c>
      <c r="I7">
        <v>267.4160023</v>
      </c>
      <c r="J7">
        <v>2780.8319160000001</v>
      </c>
      <c r="K7">
        <v>863.50997389999998</v>
      </c>
      <c r="L7">
        <v>13.718263260000001</v>
      </c>
      <c r="M7">
        <v>267.4160023</v>
      </c>
      <c r="N7">
        <v>13.301421850000001</v>
      </c>
      <c r="O7">
        <v>251.14356549999999</v>
      </c>
      <c r="P7">
        <v>0.67259834799999996</v>
      </c>
      <c r="Q7">
        <v>0.95934326199999997</v>
      </c>
      <c r="R7">
        <v>0.62394733199999997</v>
      </c>
      <c r="S7">
        <v>1.390358676</v>
      </c>
      <c r="T7">
        <v>0.86820124899999995</v>
      </c>
      <c r="U7">
        <v>1.2404126740000001</v>
      </c>
      <c r="V7">
        <v>20.452353779999999</v>
      </c>
      <c r="W7">
        <v>24.190099920000002</v>
      </c>
      <c r="X7">
        <v>3.7823182580000001</v>
      </c>
      <c r="Y7">
        <v>19.455880319999999</v>
      </c>
      <c r="Z7">
        <v>26.190099920000002</v>
      </c>
      <c r="AA7">
        <v>0.35743510699999997</v>
      </c>
      <c r="AB7">
        <v>5.5402038789999999</v>
      </c>
      <c r="AC7">
        <v>1.4390973549999999</v>
      </c>
      <c r="AD7">
        <v>0.19340369800000001</v>
      </c>
      <c r="AE7">
        <v>0.90362281200000005</v>
      </c>
      <c r="AF7">
        <v>71.953377029999999</v>
      </c>
      <c r="AG7">
        <v>6.2928669709999996</v>
      </c>
      <c r="AI7" t="str">
        <f t="shared" si="1"/>
        <v>5.989012537</v>
      </c>
      <c r="AJ7" t="str">
        <f t="shared" si="2"/>
        <v>18.86618155</v>
      </c>
      <c r="AK7" t="str">
        <f t="shared" si="2"/>
        <v>12.87716902</v>
      </c>
      <c r="AL7" t="str">
        <f t="shared" si="2"/>
        <v>267.4160023</v>
      </c>
      <c r="AM7" t="str">
        <f t="shared" si="2"/>
        <v>2780.831916</v>
      </c>
      <c r="AN7" t="str">
        <f t="shared" si="2"/>
        <v>863.5099739</v>
      </c>
      <c r="AO7" t="str">
        <f t="shared" si="2"/>
        <v>13.71826326</v>
      </c>
      <c r="AP7" t="str">
        <f t="shared" si="2"/>
        <v>267.4160023</v>
      </c>
      <c r="AQ7" t="str">
        <f t="shared" si="2"/>
        <v>13.30142185</v>
      </c>
      <c r="AR7" t="str">
        <f t="shared" si="2"/>
        <v>251.1435655</v>
      </c>
      <c r="AS7" t="str">
        <f t="shared" si="2"/>
        <v>0.672598348</v>
      </c>
      <c r="AT7" t="str">
        <f t="shared" si="2"/>
        <v>0.959343262</v>
      </c>
      <c r="AU7" t="str">
        <f t="shared" si="2"/>
        <v>0.623947332</v>
      </c>
      <c r="AV7" t="str">
        <f t="shared" si="2"/>
        <v>1.390358676</v>
      </c>
      <c r="AW7" t="str">
        <f t="shared" si="2"/>
        <v>0.868201249</v>
      </c>
      <c r="AX7" t="str">
        <f t="shared" si="2"/>
        <v>1.240412674</v>
      </c>
      <c r="AY7" t="str">
        <f t="shared" si="2"/>
        <v>20.45235378</v>
      </c>
      <c r="AZ7" t="str">
        <f t="shared" si="2"/>
        <v>24.19009992</v>
      </c>
      <c r="BA7" t="str">
        <f t="shared" si="2"/>
        <v>3.782318258</v>
      </c>
      <c r="BB7" t="str">
        <f t="shared" si="2"/>
        <v>19.45588032</v>
      </c>
      <c r="BC7" t="str">
        <f t="shared" si="2"/>
        <v>26.19009992</v>
      </c>
      <c r="BD7" t="str">
        <f t="shared" si="2"/>
        <v>0.357435107</v>
      </c>
      <c r="BE7" t="str">
        <f t="shared" si="2"/>
        <v>5.540203879</v>
      </c>
      <c r="BF7" t="str">
        <f t="shared" si="2"/>
        <v>1.439097355</v>
      </c>
      <c r="BG7" t="str">
        <f t="shared" si="2"/>
        <v>0.193403698</v>
      </c>
      <c r="BH7" t="str">
        <f t="shared" si="2"/>
        <v>0.903622812</v>
      </c>
      <c r="BI7" t="str">
        <f t="shared" si="2"/>
        <v>71.95337703</v>
      </c>
      <c r="BJ7" t="str">
        <f t="shared" si="2"/>
        <v>6.292866971</v>
      </c>
    </row>
    <row r="8" spans="1:62" x14ac:dyDescent="0.25">
      <c r="A8" s="3" t="s">
        <v>100</v>
      </c>
      <c r="B8" t="s">
        <v>409</v>
      </c>
      <c r="C8" t="s">
        <v>7</v>
      </c>
      <c r="E8">
        <v>7</v>
      </c>
      <c r="F8">
        <v>6.9724412429999996</v>
      </c>
      <c r="G8">
        <v>18.09059894</v>
      </c>
      <c r="H8">
        <v>11.118157699999999</v>
      </c>
      <c r="I8">
        <v>246.36087950000001</v>
      </c>
      <c r="J8">
        <v>2498.7396130000002</v>
      </c>
      <c r="K8">
        <v>273.47039419999999</v>
      </c>
      <c r="L8">
        <v>14.40956838</v>
      </c>
      <c r="M8">
        <v>246.4480667</v>
      </c>
      <c r="N8">
        <v>12.94518981</v>
      </c>
      <c r="O8">
        <v>315.984016</v>
      </c>
      <c r="P8">
        <v>0.68211788200000001</v>
      </c>
      <c r="Q8">
        <v>0.94908091900000002</v>
      </c>
      <c r="R8">
        <v>0.57024071300000001</v>
      </c>
      <c r="S8">
        <v>1.3402097900000001</v>
      </c>
      <c r="T8">
        <v>0.92557657299999996</v>
      </c>
      <c r="U8">
        <v>1.152198635</v>
      </c>
      <c r="V8">
        <v>21.054945050000001</v>
      </c>
      <c r="W8">
        <v>24.03996004</v>
      </c>
      <c r="X8">
        <v>3.9880119879999998</v>
      </c>
      <c r="Y8">
        <v>19.914085910000001</v>
      </c>
      <c r="Z8">
        <v>26.03996004</v>
      </c>
      <c r="AA8">
        <v>0.52147852100000003</v>
      </c>
      <c r="AB8">
        <v>9.2837162840000005</v>
      </c>
      <c r="AC8">
        <v>1.79020979</v>
      </c>
      <c r="AD8">
        <v>0.16911486000000001</v>
      </c>
      <c r="AE8">
        <v>0.88323540599999995</v>
      </c>
      <c r="AF8">
        <v>73.344773790000005</v>
      </c>
      <c r="AG8">
        <v>6.2382111279999997</v>
      </c>
      <c r="AI8" t="str">
        <f t="shared" si="1"/>
        <v>6.972441243</v>
      </c>
      <c r="AJ8" t="str">
        <f t="shared" si="2"/>
        <v>18.09059894</v>
      </c>
      <c r="AK8" t="str">
        <f t="shared" si="2"/>
        <v>11.1181577</v>
      </c>
      <c r="AL8" t="str">
        <f t="shared" si="2"/>
        <v>246.3608795</v>
      </c>
      <c r="AM8" t="str">
        <f t="shared" si="2"/>
        <v>2498.739613</v>
      </c>
      <c r="AN8" t="str">
        <f t="shared" si="2"/>
        <v>273.4703942</v>
      </c>
      <c r="AO8" t="str">
        <f t="shared" si="2"/>
        <v>14.40956838</v>
      </c>
      <c r="AP8" t="str">
        <f t="shared" si="2"/>
        <v>246.4480667</v>
      </c>
      <c r="AQ8" t="str">
        <f t="shared" si="2"/>
        <v>12.94518981</v>
      </c>
      <c r="AR8" t="str">
        <f t="shared" si="2"/>
        <v>315.984016</v>
      </c>
      <c r="AS8" t="str">
        <f t="shared" si="2"/>
        <v>0.682117882</v>
      </c>
      <c r="AT8" t="str">
        <f t="shared" si="2"/>
        <v>0.949080919</v>
      </c>
      <c r="AU8" t="str">
        <f t="shared" si="2"/>
        <v>0.570240713</v>
      </c>
      <c r="AV8" t="str">
        <f t="shared" si="2"/>
        <v>1.34020979</v>
      </c>
      <c r="AW8" t="str">
        <f t="shared" si="2"/>
        <v>0.925576573</v>
      </c>
      <c r="AX8" t="str">
        <f t="shared" si="2"/>
        <v>1.152198635</v>
      </c>
      <c r="AY8" t="str">
        <f t="shared" si="2"/>
        <v>21.05494505</v>
      </c>
      <c r="AZ8" t="str">
        <f t="shared" si="2"/>
        <v>24.03996004</v>
      </c>
      <c r="BA8" t="str">
        <f t="shared" si="2"/>
        <v>3.988011988</v>
      </c>
      <c r="BB8" t="str">
        <f t="shared" si="2"/>
        <v>19.91408591</v>
      </c>
      <c r="BC8" t="str">
        <f t="shared" si="2"/>
        <v>26.03996004</v>
      </c>
      <c r="BD8" t="str">
        <f t="shared" si="2"/>
        <v>0.521478521</v>
      </c>
      <c r="BE8" t="str">
        <f t="shared" si="2"/>
        <v>9.283716284</v>
      </c>
      <c r="BF8" t="str">
        <f t="shared" si="2"/>
        <v>1.79020979</v>
      </c>
      <c r="BG8" t="str">
        <f t="shared" si="2"/>
        <v>0.16911486</v>
      </c>
      <c r="BH8" t="str">
        <f t="shared" si="2"/>
        <v>0.883235406</v>
      </c>
      <c r="BI8" t="str">
        <f t="shared" si="2"/>
        <v>73.34477379</v>
      </c>
      <c r="BJ8" t="str">
        <f t="shared" si="2"/>
        <v>6.238211128</v>
      </c>
    </row>
    <row r="9" spans="1:62" x14ac:dyDescent="0.25">
      <c r="A9" s="3" t="s">
        <v>102</v>
      </c>
      <c r="B9" t="s">
        <v>410</v>
      </c>
      <c r="C9" t="s">
        <v>7</v>
      </c>
      <c r="D9" t="s">
        <v>334</v>
      </c>
      <c r="E9">
        <v>8</v>
      </c>
      <c r="F9">
        <v>7.1136245499999999</v>
      </c>
      <c r="G9">
        <v>18.06675122</v>
      </c>
      <c r="H9">
        <v>10.95312667</v>
      </c>
      <c r="I9">
        <v>233.70191929999999</v>
      </c>
      <c r="J9">
        <v>2360.8907509999999</v>
      </c>
      <c r="K9">
        <v>230.31427249999999</v>
      </c>
      <c r="L9">
        <v>13.005929910000001</v>
      </c>
      <c r="M9">
        <v>233.88565360000001</v>
      </c>
      <c r="N9">
        <v>12.878755269999999</v>
      </c>
      <c r="O9">
        <v>279.12941180000001</v>
      </c>
      <c r="P9">
        <v>0.59358823500000002</v>
      </c>
      <c r="Q9">
        <v>0.96249764699999996</v>
      </c>
      <c r="R9">
        <v>0.66606340100000005</v>
      </c>
      <c r="S9">
        <v>1.470394118</v>
      </c>
      <c r="T9">
        <v>0.92843509700000004</v>
      </c>
      <c r="U9">
        <v>1.1703875180000001</v>
      </c>
      <c r="V9">
        <v>20.997058819999999</v>
      </c>
      <c r="W9">
        <v>24.005411760000001</v>
      </c>
      <c r="X9">
        <v>4</v>
      </c>
      <c r="Y9">
        <v>19.990647060000001</v>
      </c>
      <c r="Z9">
        <v>26.005411760000001</v>
      </c>
      <c r="AA9">
        <v>0.44541176500000002</v>
      </c>
      <c r="AB9">
        <v>10.842511760000001</v>
      </c>
      <c r="AC9">
        <v>1.278073529</v>
      </c>
      <c r="AD9">
        <v>0.18872768400000001</v>
      </c>
      <c r="AE9">
        <v>0.85805423700000005</v>
      </c>
      <c r="AF9">
        <v>70.433983150000003</v>
      </c>
      <c r="AG9">
        <v>2.3084466080000001</v>
      </c>
      <c r="AI9" t="str">
        <f t="shared" si="1"/>
        <v>7.11362455</v>
      </c>
      <c r="AJ9" t="str">
        <f t="shared" si="2"/>
        <v>18.06675122</v>
      </c>
      <c r="AK9" t="str">
        <f t="shared" si="2"/>
        <v>10.95312667</v>
      </c>
      <c r="AL9" t="str">
        <f t="shared" si="2"/>
        <v>233.7019193</v>
      </c>
      <c r="AM9" t="str">
        <f t="shared" si="2"/>
        <v>2360.890751</v>
      </c>
      <c r="AN9" t="str">
        <f t="shared" si="2"/>
        <v>230.3142725</v>
      </c>
      <c r="AO9" t="str">
        <f t="shared" si="2"/>
        <v>13.00592991</v>
      </c>
      <c r="AP9" t="str">
        <f t="shared" si="2"/>
        <v>233.8856536</v>
      </c>
      <c r="AQ9" t="str">
        <f t="shared" si="2"/>
        <v>12.87875527</v>
      </c>
      <c r="AR9" t="str">
        <f t="shared" si="2"/>
        <v>279.1294118</v>
      </c>
      <c r="AS9" t="str">
        <f t="shared" si="2"/>
        <v>0.593588235</v>
      </c>
      <c r="AT9" t="str">
        <f t="shared" si="2"/>
        <v>0.962497647</v>
      </c>
      <c r="AU9" t="str">
        <f t="shared" si="2"/>
        <v>0.666063401</v>
      </c>
      <c r="AV9" t="str">
        <f t="shared" si="2"/>
        <v>1.470394118</v>
      </c>
      <c r="AW9" t="str">
        <f t="shared" si="2"/>
        <v>0.928435097</v>
      </c>
      <c r="AX9" t="str">
        <f t="shared" si="2"/>
        <v>1.170387518</v>
      </c>
      <c r="AY9" t="str">
        <f t="shared" si="2"/>
        <v>20.99705882</v>
      </c>
      <c r="AZ9" t="str">
        <f t="shared" si="2"/>
        <v>24.00541176</v>
      </c>
      <c r="BA9">
        <f t="shared" si="2"/>
        <v>4</v>
      </c>
      <c r="BB9" t="str">
        <f t="shared" si="2"/>
        <v>19.99064706</v>
      </c>
      <c r="BC9" t="str">
        <f t="shared" si="2"/>
        <v>26.00541176</v>
      </c>
      <c r="BD9" t="str">
        <f t="shared" si="2"/>
        <v>0.445411765</v>
      </c>
      <c r="BE9" t="str">
        <f t="shared" si="2"/>
        <v>10.84251176</v>
      </c>
      <c r="BF9" t="str">
        <f t="shared" si="2"/>
        <v>1.278073529</v>
      </c>
      <c r="BG9" t="str">
        <f t="shared" si="2"/>
        <v>0.188727684</v>
      </c>
      <c r="BH9" t="str">
        <f t="shared" si="2"/>
        <v>0.858054237</v>
      </c>
      <c r="BI9" t="str">
        <f t="shared" si="2"/>
        <v>70.43398315</v>
      </c>
      <c r="BJ9" t="str">
        <f t="shared" si="2"/>
        <v>2.308446608</v>
      </c>
    </row>
    <row r="10" spans="1:62" x14ac:dyDescent="0.25">
      <c r="A10" s="3" t="s">
        <v>103</v>
      </c>
      <c r="B10" t="s">
        <v>411</v>
      </c>
      <c r="C10" t="s">
        <v>7</v>
      </c>
      <c r="D10" t="s">
        <v>333</v>
      </c>
      <c r="E10">
        <v>9</v>
      </c>
      <c r="F10">
        <v>7.0247036239999998</v>
      </c>
      <c r="G10">
        <v>18.071591389999998</v>
      </c>
      <c r="H10">
        <v>11.04688777</v>
      </c>
      <c r="I10">
        <v>248.2316419</v>
      </c>
      <c r="J10">
        <v>2509.824548</v>
      </c>
      <c r="K10">
        <v>254.13703029999999</v>
      </c>
      <c r="L10">
        <v>14.101351490000001</v>
      </c>
      <c r="M10">
        <v>248.31787399999999</v>
      </c>
      <c r="N10">
        <v>12.90572384</v>
      </c>
      <c r="O10">
        <v>322.8</v>
      </c>
      <c r="P10">
        <v>0.68559999999999999</v>
      </c>
      <c r="Q10">
        <v>0.94384000000000001</v>
      </c>
      <c r="R10">
        <v>0.55282428900000002</v>
      </c>
      <c r="S10">
        <v>1.31795</v>
      </c>
      <c r="T10">
        <v>0.92295011299999996</v>
      </c>
      <c r="U10">
        <v>1.1411657079999999</v>
      </c>
      <c r="V10">
        <v>20.966000000000001</v>
      </c>
      <c r="W10">
        <v>24.08</v>
      </c>
      <c r="X10">
        <v>3.992</v>
      </c>
      <c r="Y10">
        <v>19.856000000000002</v>
      </c>
      <c r="Z10">
        <v>26.08</v>
      </c>
      <c r="AA10">
        <v>0.53700000000000003</v>
      </c>
      <c r="AB10">
        <v>8.1978000000000009</v>
      </c>
      <c r="AC10">
        <v>1.7615000000000001</v>
      </c>
      <c r="AD10">
        <v>0.18498661499999999</v>
      </c>
      <c r="AE10">
        <v>0.87096115100000004</v>
      </c>
      <c r="AF10">
        <v>73.34939808</v>
      </c>
      <c r="AG10">
        <v>6.3847131929999996</v>
      </c>
      <c r="AI10" t="str">
        <f t="shared" si="1"/>
        <v>7.024703624</v>
      </c>
      <c r="AJ10" t="str">
        <f t="shared" si="2"/>
        <v>18.07159139</v>
      </c>
      <c r="AK10" t="str">
        <f t="shared" si="2"/>
        <v>11.04688777</v>
      </c>
      <c r="AL10" t="str">
        <f t="shared" si="2"/>
        <v>248.2316419</v>
      </c>
      <c r="AM10" t="str">
        <f t="shared" si="2"/>
        <v>2509.824548</v>
      </c>
      <c r="AN10" t="str">
        <f t="shared" si="2"/>
        <v>254.1370303</v>
      </c>
      <c r="AO10" t="str">
        <f t="shared" si="2"/>
        <v>14.10135149</v>
      </c>
      <c r="AP10" t="str">
        <f t="shared" si="2"/>
        <v>248.317874</v>
      </c>
      <c r="AQ10" t="str">
        <f t="shared" si="2"/>
        <v>12.90572384</v>
      </c>
      <c r="AR10" t="str">
        <f t="shared" si="2"/>
        <v>322.8</v>
      </c>
      <c r="AS10" t="str">
        <f t="shared" si="2"/>
        <v>0.6856</v>
      </c>
      <c r="AT10" t="str">
        <f t="shared" si="2"/>
        <v>0.94384</v>
      </c>
      <c r="AU10" t="str">
        <f t="shared" si="2"/>
        <v>0.552824289</v>
      </c>
      <c r="AV10" t="str">
        <f t="shared" si="2"/>
        <v>1.31795</v>
      </c>
      <c r="AW10" t="str">
        <f t="shared" si="2"/>
        <v>0.922950113</v>
      </c>
      <c r="AX10" t="str">
        <f t="shared" si="2"/>
        <v>1.141165708</v>
      </c>
      <c r="AY10" t="str">
        <f t="shared" ref="AY10:BJ25" si="3">IF(MID(V10,2,1)=",",_xlfn.TEXTJOIN(".",FALSE,MID(V10,1,1),MID(V10,3,LEN(V10)-2)),IF(MID(V10,3,1)=",",_xlfn.TEXTJOIN(".",FALSE,MID(V10,1,2),MID(V10,4,LEN(V10)-3)),IF(MID(V10,4,1)=",",_xlfn.TEXTJOIN(".",FALSE,MID(V10,1,3),MID(V10,5,LEN(V10)-4)),IF(MID(V10,5,1)=",",_xlfn.TEXTJOIN(".",FALSE,MID(V10,1,4),MID(V10,6,LEN(V10)-5)),V10))))</f>
        <v>20.966</v>
      </c>
      <c r="AZ10" t="str">
        <f t="shared" si="3"/>
        <v>24.08</v>
      </c>
      <c r="BA10" t="str">
        <f t="shared" si="3"/>
        <v>3.992</v>
      </c>
      <c r="BB10" t="str">
        <f t="shared" si="3"/>
        <v>19.856</v>
      </c>
      <c r="BC10" t="str">
        <f t="shared" si="3"/>
        <v>26.08</v>
      </c>
      <c r="BD10" t="str">
        <f t="shared" si="3"/>
        <v>0.537</v>
      </c>
      <c r="BE10" t="str">
        <f t="shared" si="3"/>
        <v>8.1978</v>
      </c>
      <c r="BF10" t="str">
        <f t="shared" si="3"/>
        <v>1.7615</v>
      </c>
      <c r="BG10" t="str">
        <f t="shared" si="3"/>
        <v>0.184986615</v>
      </c>
      <c r="BH10" t="str">
        <f t="shared" si="3"/>
        <v>0.870961151</v>
      </c>
      <c r="BI10" t="str">
        <f t="shared" si="3"/>
        <v>73.34939808</v>
      </c>
      <c r="BJ10" t="str">
        <f t="shared" si="3"/>
        <v>6.384713193</v>
      </c>
    </row>
    <row r="11" spans="1:62" x14ac:dyDescent="0.25">
      <c r="A11" s="3" t="s">
        <v>105</v>
      </c>
      <c r="B11" t="s">
        <v>412</v>
      </c>
      <c r="C11" t="s">
        <v>7</v>
      </c>
      <c r="D11" t="s">
        <v>253</v>
      </c>
      <c r="E11">
        <v>10</v>
      </c>
      <c r="F11">
        <v>7.0603357679999998</v>
      </c>
      <c r="G11">
        <v>18.05820108</v>
      </c>
      <c r="H11">
        <v>10.997865320000001</v>
      </c>
      <c r="I11">
        <v>243.6785592</v>
      </c>
      <c r="J11">
        <v>2461.527028</v>
      </c>
      <c r="K11">
        <v>241.96586930000001</v>
      </c>
      <c r="L11">
        <v>13.831303630000001</v>
      </c>
      <c r="M11">
        <v>243.76764979999999</v>
      </c>
      <c r="N11">
        <v>12.877994060000001</v>
      </c>
      <c r="O11">
        <v>318.52783219999998</v>
      </c>
      <c r="P11">
        <v>0.66446713300000004</v>
      </c>
      <c r="Q11">
        <v>0.94839923699999995</v>
      </c>
      <c r="R11">
        <v>0.571804549</v>
      </c>
      <c r="S11">
        <v>1.3681261339999999</v>
      </c>
      <c r="T11">
        <v>0.91671280700000002</v>
      </c>
      <c r="U11">
        <v>1.144853661</v>
      </c>
      <c r="V11">
        <v>20.993405389999999</v>
      </c>
      <c r="W11">
        <v>24.047154450000001</v>
      </c>
      <c r="X11">
        <v>3.9952047949999998</v>
      </c>
      <c r="Y11">
        <v>19.900285709999999</v>
      </c>
      <c r="Z11">
        <v>26.047154450000001</v>
      </c>
      <c r="AA11">
        <v>0.52568351599999996</v>
      </c>
      <c r="AB11">
        <v>9.1891631569999994</v>
      </c>
      <c r="AC11">
        <v>1.691129171</v>
      </c>
      <c r="AD11">
        <v>0.190853674</v>
      </c>
      <c r="AE11">
        <v>0.86456136400000005</v>
      </c>
      <c r="AF11">
        <v>72.517486939999998</v>
      </c>
      <c r="AG11">
        <v>5.3806300570000003</v>
      </c>
      <c r="AI11" t="str">
        <f t="shared" si="1"/>
        <v>7.060335768</v>
      </c>
      <c r="AJ11" t="str">
        <f t="shared" ref="AJ11:AX26" si="4">IF(MID(G11,2,1)=",",_xlfn.TEXTJOIN(".",FALSE,MID(G11,1,1),MID(G11,3,LEN(G11)-2)),IF(MID(G11,3,1)=",",_xlfn.TEXTJOIN(".",FALSE,MID(G11,1,2),MID(G11,4,LEN(G11)-3)),IF(MID(G11,4,1)=",",_xlfn.TEXTJOIN(".",FALSE,MID(G11,1,3),MID(G11,5,LEN(G11)-4)),IF(MID(G11,5,1)=",",_xlfn.TEXTJOIN(".",FALSE,MID(G11,1,4),MID(G11,6,LEN(G11)-5)),G11))))</f>
        <v>18.05820108</v>
      </c>
      <c r="AK11" t="str">
        <f t="shared" si="4"/>
        <v>10.99786532</v>
      </c>
      <c r="AL11" t="str">
        <f t="shared" si="4"/>
        <v>243.6785592</v>
      </c>
      <c r="AM11" t="str">
        <f t="shared" si="4"/>
        <v>2461.527028</v>
      </c>
      <c r="AN11" t="str">
        <f t="shared" si="4"/>
        <v>241.9658693</v>
      </c>
      <c r="AO11" t="str">
        <f t="shared" si="4"/>
        <v>13.83130363</v>
      </c>
      <c r="AP11" t="str">
        <f t="shared" si="4"/>
        <v>243.7676498</v>
      </c>
      <c r="AQ11" t="str">
        <f t="shared" si="4"/>
        <v>12.87799406</v>
      </c>
      <c r="AR11" t="str">
        <f t="shared" si="4"/>
        <v>318.5278322</v>
      </c>
      <c r="AS11" t="str">
        <f t="shared" si="4"/>
        <v>0.664467133</v>
      </c>
      <c r="AT11" t="str">
        <f t="shared" si="4"/>
        <v>0.948399237</v>
      </c>
      <c r="AU11" t="str">
        <f t="shared" si="4"/>
        <v>0.571804549</v>
      </c>
      <c r="AV11" t="str">
        <f t="shared" si="4"/>
        <v>1.368126134</v>
      </c>
      <c r="AW11" t="str">
        <f t="shared" si="4"/>
        <v>0.916712807</v>
      </c>
      <c r="AX11" t="str">
        <f t="shared" si="4"/>
        <v>1.144853661</v>
      </c>
      <c r="AY11" t="str">
        <f t="shared" si="3"/>
        <v>20.99340539</v>
      </c>
      <c r="AZ11" t="str">
        <f t="shared" si="3"/>
        <v>24.04715445</v>
      </c>
      <c r="BA11" t="str">
        <f t="shared" si="3"/>
        <v>3.995204795</v>
      </c>
      <c r="BB11" t="str">
        <f t="shared" si="3"/>
        <v>19.90028571</v>
      </c>
      <c r="BC11" t="str">
        <f t="shared" si="3"/>
        <v>26.04715445</v>
      </c>
      <c r="BD11" t="str">
        <f t="shared" si="3"/>
        <v>0.525683516</v>
      </c>
      <c r="BE11" t="str">
        <f t="shared" si="3"/>
        <v>9.189163157</v>
      </c>
      <c r="BF11" t="str">
        <f t="shared" si="3"/>
        <v>1.691129171</v>
      </c>
      <c r="BG11" t="str">
        <f t="shared" si="3"/>
        <v>0.190853674</v>
      </c>
      <c r="BH11" t="str">
        <f t="shared" si="3"/>
        <v>0.864561364</v>
      </c>
      <c r="BI11" t="str">
        <f t="shared" si="3"/>
        <v>72.51748694</v>
      </c>
      <c r="BJ11" t="str">
        <f t="shared" si="3"/>
        <v>5.380630057</v>
      </c>
    </row>
    <row r="12" spans="1:62" x14ac:dyDescent="0.25">
      <c r="A12" s="3" t="s">
        <v>107</v>
      </c>
      <c r="B12" t="s">
        <v>413</v>
      </c>
      <c r="C12" t="s">
        <v>7</v>
      </c>
      <c r="D12" t="s">
        <v>254</v>
      </c>
      <c r="E12">
        <v>11</v>
      </c>
      <c r="F12">
        <v>6.9863457310000001</v>
      </c>
      <c r="G12">
        <v>17.95253095</v>
      </c>
      <c r="H12">
        <v>10.966185210000001</v>
      </c>
      <c r="I12">
        <v>249.3245895</v>
      </c>
      <c r="J12">
        <v>2525.586636</v>
      </c>
      <c r="K12">
        <v>215.55402330000001</v>
      </c>
      <c r="L12">
        <v>15.648779899999999</v>
      </c>
      <c r="M12">
        <v>249.3245895</v>
      </c>
      <c r="N12">
        <v>12.87811071</v>
      </c>
      <c r="O12">
        <v>304.00400400000001</v>
      </c>
      <c r="P12">
        <v>0.70650650699999995</v>
      </c>
      <c r="Q12">
        <v>0.94955955999999997</v>
      </c>
      <c r="R12">
        <v>0.59483225399999995</v>
      </c>
      <c r="S12">
        <v>1.229329329</v>
      </c>
      <c r="T12">
        <v>0.95693925999999996</v>
      </c>
      <c r="U12">
        <v>1.2109735770000001</v>
      </c>
      <c r="V12">
        <v>21.14914915</v>
      </c>
      <c r="W12">
        <v>24.044044039999999</v>
      </c>
      <c r="X12">
        <v>3.987987988</v>
      </c>
      <c r="Y12">
        <v>19.86886887</v>
      </c>
      <c r="Z12">
        <v>26.044044039999999</v>
      </c>
      <c r="AA12">
        <v>0.46446446400000002</v>
      </c>
      <c r="AB12">
        <v>8.6904904900000002</v>
      </c>
      <c r="AC12">
        <v>1.916916917</v>
      </c>
      <c r="AD12">
        <v>0.100636609</v>
      </c>
      <c r="AE12">
        <v>0.92366039200000005</v>
      </c>
      <c r="AF12">
        <v>75.899611100000001</v>
      </c>
      <c r="AG12">
        <v>7.399500272</v>
      </c>
      <c r="AI12" t="str">
        <f t="shared" si="1"/>
        <v>6.986345731</v>
      </c>
      <c r="AJ12" t="str">
        <f t="shared" si="4"/>
        <v>17.95253095</v>
      </c>
      <c r="AK12" t="str">
        <f t="shared" si="4"/>
        <v>10.96618521</v>
      </c>
      <c r="AL12" t="str">
        <f t="shared" si="4"/>
        <v>249.3245895</v>
      </c>
      <c r="AM12" t="str">
        <f t="shared" si="4"/>
        <v>2525.586636</v>
      </c>
      <c r="AN12" t="str">
        <f t="shared" si="4"/>
        <v>215.5540233</v>
      </c>
      <c r="AO12" t="str">
        <f t="shared" si="4"/>
        <v>15.6487799</v>
      </c>
      <c r="AP12" t="str">
        <f t="shared" si="4"/>
        <v>249.3245895</v>
      </c>
      <c r="AQ12" t="str">
        <f t="shared" si="4"/>
        <v>12.87811071</v>
      </c>
      <c r="AR12" t="str">
        <f t="shared" si="4"/>
        <v>304.004004</v>
      </c>
      <c r="AS12" t="str">
        <f t="shared" si="4"/>
        <v>0.706506507</v>
      </c>
      <c r="AT12" t="str">
        <f t="shared" si="4"/>
        <v>0.94955956</v>
      </c>
      <c r="AU12" t="str">
        <f t="shared" si="4"/>
        <v>0.594832254</v>
      </c>
      <c r="AV12" t="str">
        <f t="shared" si="4"/>
        <v>1.229329329</v>
      </c>
      <c r="AW12" t="str">
        <f t="shared" si="4"/>
        <v>0.95693926</v>
      </c>
      <c r="AX12" t="str">
        <f t="shared" si="4"/>
        <v>1.210973577</v>
      </c>
      <c r="AY12" t="str">
        <f t="shared" si="3"/>
        <v>21.14914915</v>
      </c>
      <c r="AZ12" t="str">
        <f t="shared" si="3"/>
        <v>24.04404404</v>
      </c>
      <c r="BA12" t="str">
        <f t="shared" si="3"/>
        <v>3.987987988</v>
      </c>
      <c r="BB12" t="str">
        <f t="shared" si="3"/>
        <v>19.86886887</v>
      </c>
      <c r="BC12" t="str">
        <f t="shared" si="3"/>
        <v>26.04404404</v>
      </c>
      <c r="BD12" t="str">
        <f t="shared" si="3"/>
        <v>0.464464464</v>
      </c>
      <c r="BE12" t="str">
        <f t="shared" si="3"/>
        <v>8.69049049</v>
      </c>
      <c r="BF12" t="str">
        <f t="shared" si="3"/>
        <v>1.916916917</v>
      </c>
      <c r="BG12" t="str">
        <f t="shared" si="3"/>
        <v>0.100636609</v>
      </c>
      <c r="BH12" t="str">
        <f t="shared" si="3"/>
        <v>0.923660392</v>
      </c>
      <c r="BI12" t="str">
        <f t="shared" si="3"/>
        <v>75.8996111</v>
      </c>
      <c r="BJ12" t="str">
        <f t="shared" si="3"/>
        <v>7.399500272</v>
      </c>
    </row>
    <row r="13" spans="1:62" x14ac:dyDescent="0.25">
      <c r="A13" s="3" t="s">
        <v>109</v>
      </c>
      <c r="B13" t="s">
        <v>414</v>
      </c>
      <c r="C13" t="s">
        <v>7</v>
      </c>
      <c r="D13" t="s">
        <v>255</v>
      </c>
      <c r="E13">
        <v>12</v>
      </c>
      <c r="F13">
        <v>6.5179404349999999</v>
      </c>
      <c r="G13">
        <v>18.447967859999999</v>
      </c>
      <c r="H13">
        <v>11.930027430000001</v>
      </c>
      <c r="I13">
        <v>257.9042341</v>
      </c>
      <c r="J13">
        <v>2664.9744780000001</v>
      </c>
      <c r="K13">
        <v>515.2121664</v>
      </c>
      <c r="L13">
        <v>15.747248819999999</v>
      </c>
      <c r="M13">
        <v>257.9042341</v>
      </c>
      <c r="N13">
        <v>13.343689169999999</v>
      </c>
      <c r="O13">
        <v>314.2857143</v>
      </c>
      <c r="P13">
        <v>0.74205794199999997</v>
      </c>
      <c r="Q13">
        <v>0.94933066899999996</v>
      </c>
      <c r="R13">
        <v>0.53144797499999996</v>
      </c>
      <c r="S13">
        <v>1.248551449</v>
      </c>
      <c r="T13">
        <v>0.93902340500000003</v>
      </c>
      <c r="U13">
        <v>1.146457861</v>
      </c>
      <c r="V13">
        <v>21.288711289999998</v>
      </c>
      <c r="W13">
        <v>24</v>
      </c>
      <c r="X13">
        <v>3.9080919079999998</v>
      </c>
      <c r="Y13">
        <v>20.045954049999999</v>
      </c>
      <c r="Z13">
        <v>26</v>
      </c>
      <c r="AA13">
        <v>0.55544455500000001</v>
      </c>
      <c r="AB13">
        <v>9.8848651350000001</v>
      </c>
      <c r="AC13">
        <v>2.1253746250000001</v>
      </c>
      <c r="AD13">
        <v>0.13692896199999999</v>
      </c>
      <c r="AE13">
        <v>0.91875635300000003</v>
      </c>
      <c r="AF13">
        <v>74.417782369999998</v>
      </c>
      <c r="AG13">
        <v>7.3050435020000002</v>
      </c>
      <c r="AI13" t="str">
        <f t="shared" si="1"/>
        <v>6.517940435</v>
      </c>
      <c r="AJ13" t="str">
        <f t="shared" si="4"/>
        <v>18.44796786</v>
      </c>
      <c r="AK13" t="str">
        <f t="shared" si="4"/>
        <v>11.93002743</v>
      </c>
      <c r="AL13" t="str">
        <f t="shared" si="4"/>
        <v>257.9042341</v>
      </c>
      <c r="AM13" t="str">
        <f t="shared" si="4"/>
        <v>2664.974478</v>
      </c>
      <c r="AN13" t="str">
        <f t="shared" si="4"/>
        <v>515.2121664</v>
      </c>
      <c r="AO13" t="str">
        <f t="shared" si="4"/>
        <v>15.74724882</v>
      </c>
      <c r="AP13" t="str">
        <f t="shared" si="4"/>
        <v>257.9042341</v>
      </c>
      <c r="AQ13" t="str">
        <f t="shared" si="4"/>
        <v>13.34368917</v>
      </c>
      <c r="AR13" t="str">
        <f t="shared" si="4"/>
        <v>314.2857143</v>
      </c>
      <c r="AS13" t="str">
        <f t="shared" si="4"/>
        <v>0.742057942</v>
      </c>
      <c r="AT13" t="str">
        <f t="shared" si="4"/>
        <v>0.949330669</v>
      </c>
      <c r="AU13" t="str">
        <f t="shared" si="4"/>
        <v>0.531447975</v>
      </c>
      <c r="AV13" t="str">
        <f t="shared" si="4"/>
        <v>1.248551449</v>
      </c>
      <c r="AW13" t="str">
        <f t="shared" si="4"/>
        <v>0.939023405</v>
      </c>
      <c r="AX13" t="str">
        <f t="shared" si="4"/>
        <v>1.146457861</v>
      </c>
      <c r="AY13" t="str">
        <f t="shared" si="3"/>
        <v>21.28871129</v>
      </c>
      <c r="AZ13">
        <f t="shared" si="3"/>
        <v>24</v>
      </c>
      <c r="BA13" t="str">
        <f t="shared" si="3"/>
        <v>3.908091908</v>
      </c>
      <c r="BB13" t="str">
        <f t="shared" si="3"/>
        <v>20.04595405</v>
      </c>
      <c r="BC13">
        <f t="shared" si="3"/>
        <v>26</v>
      </c>
      <c r="BD13" t="str">
        <f t="shared" si="3"/>
        <v>0.555444555</v>
      </c>
      <c r="BE13" t="str">
        <f t="shared" si="3"/>
        <v>9.884865135</v>
      </c>
      <c r="BF13" t="str">
        <f t="shared" si="3"/>
        <v>2.125374625</v>
      </c>
      <c r="BG13" t="str">
        <f t="shared" si="3"/>
        <v>0.136928962</v>
      </c>
      <c r="BH13" t="str">
        <f t="shared" si="3"/>
        <v>0.918756353</v>
      </c>
      <c r="BI13" t="str">
        <f t="shared" si="3"/>
        <v>74.41778237</v>
      </c>
      <c r="BJ13" t="str">
        <f t="shared" si="3"/>
        <v>7.305043502</v>
      </c>
    </row>
    <row r="14" spans="1:62" x14ac:dyDescent="0.25">
      <c r="A14" s="3" t="s">
        <v>113</v>
      </c>
      <c r="B14" t="s">
        <v>415</v>
      </c>
      <c r="C14" t="s">
        <v>7</v>
      </c>
      <c r="D14" t="s">
        <v>256</v>
      </c>
      <c r="E14">
        <v>13</v>
      </c>
      <c r="F14">
        <v>6.9437404340000004</v>
      </c>
      <c r="G14">
        <v>18.009063050000002</v>
      </c>
      <c r="H14">
        <v>11.065322610000001</v>
      </c>
      <c r="I14">
        <v>250.29260379999999</v>
      </c>
      <c r="J14">
        <v>2541.551637</v>
      </c>
      <c r="K14">
        <v>243.87388079999999</v>
      </c>
      <c r="L14">
        <v>16.19644182</v>
      </c>
      <c r="M14">
        <v>250.29260379999999</v>
      </c>
      <c r="N14">
        <v>12.9421345</v>
      </c>
      <c r="O14">
        <v>303.49650350000002</v>
      </c>
      <c r="P14">
        <v>0.73486513499999995</v>
      </c>
      <c r="Q14">
        <v>0.95314685300000002</v>
      </c>
      <c r="R14">
        <v>0.58210477500000002</v>
      </c>
      <c r="S14">
        <v>1.266283716</v>
      </c>
      <c r="T14">
        <v>0.96171821599999996</v>
      </c>
      <c r="U14">
        <v>1.1888591369999999</v>
      </c>
      <c r="V14">
        <v>21.237762239999999</v>
      </c>
      <c r="W14">
        <v>24.019980019999998</v>
      </c>
      <c r="X14">
        <v>4</v>
      </c>
      <c r="Y14">
        <v>19.919080919999999</v>
      </c>
      <c r="Z14">
        <v>26.019980019999998</v>
      </c>
      <c r="AA14">
        <v>0.49150849200000002</v>
      </c>
      <c r="AB14">
        <v>9.4403596400000005</v>
      </c>
      <c r="AC14">
        <v>2.1128871130000002</v>
      </c>
      <c r="AD14">
        <v>9.1635038000000002E-2</v>
      </c>
      <c r="AE14">
        <v>0.94816419399999996</v>
      </c>
      <c r="AF14">
        <v>76.41795535</v>
      </c>
      <c r="AG14">
        <v>8.4765429129999994</v>
      </c>
      <c r="AI14" t="str">
        <f t="shared" si="1"/>
        <v>6.943740434</v>
      </c>
      <c r="AJ14" t="str">
        <f t="shared" si="4"/>
        <v>18.00906305</v>
      </c>
      <c r="AK14" t="str">
        <f t="shared" si="4"/>
        <v>11.06532261</v>
      </c>
      <c r="AL14" t="str">
        <f t="shared" si="4"/>
        <v>250.2926038</v>
      </c>
      <c r="AM14" t="str">
        <f t="shared" si="4"/>
        <v>2541.551637</v>
      </c>
      <c r="AN14" t="str">
        <f t="shared" si="4"/>
        <v>243.8738808</v>
      </c>
      <c r="AO14" t="str">
        <f t="shared" si="4"/>
        <v>16.19644182</v>
      </c>
      <c r="AP14" t="str">
        <f t="shared" si="4"/>
        <v>250.2926038</v>
      </c>
      <c r="AQ14" t="str">
        <f t="shared" si="4"/>
        <v>12.9421345</v>
      </c>
      <c r="AR14" t="str">
        <f t="shared" si="4"/>
        <v>303.4965035</v>
      </c>
      <c r="AS14" t="str">
        <f t="shared" si="4"/>
        <v>0.734865135</v>
      </c>
      <c r="AT14" t="str">
        <f t="shared" si="4"/>
        <v>0.953146853</v>
      </c>
      <c r="AU14" t="str">
        <f t="shared" si="4"/>
        <v>0.582104775</v>
      </c>
      <c r="AV14" t="str">
        <f t="shared" si="4"/>
        <v>1.266283716</v>
      </c>
      <c r="AW14" t="str">
        <f t="shared" si="4"/>
        <v>0.961718216</v>
      </c>
      <c r="AX14" t="str">
        <f t="shared" si="4"/>
        <v>1.188859137</v>
      </c>
      <c r="AY14" t="str">
        <f t="shared" si="3"/>
        <v>21.23776224</v>
      </c>
      <c r="AZ14" t="str">
        <f t="shared" si="3"/>
        <v>24.01998002</v>
      </c>
      <c r="BA14">
        <f t="shared" si="3"/>
        <v>4</v>
      </c>
      <c r="BB14" t="str">
        <f t="shared" si="3"/>
        <v>19.91908092</v>
      </c>
      <c r="BC14" t="str">
        <f t="shared" si="3"/>
        <v>26.01998002</v>
      </c>
      <c r="BD14" t="str">
        <f t="shared" si="3"/>
        <v>0.491508492</v>
      </c>
      <c r="BE14" t="str">
        <f t="shared" si="3"/>
        <v>9.44035964</v>
      </c>
      <c r="BF14" t="str">
        <f t="shared" si="3"/>
        <v>2.112887113</v>
      </c>
      <c r="BG14" t="str">
        <f t="shared" si="3"/>
        <v>0.091635038</v>
      </c>
      <c r="BH14" t="str">
        <f t="shared" si="3"/>
        <v>0.948164194</v>
      </c>
      <c r="BI14" t="str">
        <f t="shared" si="3"/>
        <v>76.41795535</v>
      </c>
      <c r="BJ14" t="str">
        <f t="shared" si="3"/>
        <v>8.476542913</v>
      </c>
    </row>
    <row r="15" spans="1:62" x14ac:dyDescent="0.25">
      <c r="A15" s="3" t="s">
        <v>114</v>
      </c>
      <c r="B15" t="s">
        <v>416</v>
      </c>
      <c r="C15" t="s">
        <v>7</v>
      </c>
      <c r="D15" t="s">
        <v>257</v>
      </c>
      <c r="E15">
        <v>14</v>
      </c>
      <c r="F15">
        <v>6.9437404340000004</v>
      </c>
      <c r="G15">
        <v>18.009063050000002</v>
      </c>
      <c r="H15">
        <v>11.065322610000001</v>
      </c>
      <c r="I15">
        <v>250.29260379999999</v>
      </c>
      <c r="J15">
        <v>2541.551637</v>
      </c>
      <c r="K15">
        <v>243.87388079999999</v>
      </c>
      <c r="L15">
        <v>16.19644182</v>
      </c>
      <c r="M15">
        <v>250.29260379999999</v>
      </c>
      <c r="N15">
        <v>12.9421345</v>
      </c>
      <c r="O15">
        <v>303.49650350000002</v>
      </c>
      <c r="P15">
        <v>0.73486513499999995</v>
      </c>
      <c r="Q15">
        <v>0.95314685300000002</v>
      </c>
      <c r="R15">
        <v>0.58210477500000002</v>
      </c>
      <c r="S15">
        <v>1.266283716</v>
      </c>
      <c r="T15">
        <v>0.96171821599999996</v>
      </c>
      <c r="U15">
        <v>1.1888591369999999</v>
      </c>
      <c r="V15">
        <v>21.237762239999999</v>
      </c>
      <c r="W15">
        <v>24.019980019999998</v>
      </c>
      <c r="X15">
        <v>4</v>
      </c>
      <c r="Y15">
        <v>19.919080919999999</v>
      </c>
      <c r="Z15">
        <v>26.019980019999998</v>
      </c>
      <c r="AA15">
        <v>0.49150849200000002</v>
      </c>
      <c r="AB15">
        <v>9.4403596400000005</v>
      </c>
      <c r="AC15">
        <v>2.1128871130000002</v>
      </c>
      <c r="AD15">
        <v>9.1635038000000002E-2</v>
      </c>
      <c r="AE15">
        <v>0.94816419399999996</v>
      </c>
      <c r="AF15">
        <v>76.41795535</v>
      </c>
      <c r="AG15">
        <v>8.4765429129999994</v>
      </c>
      <c r="AI15" t="str">
        <f t="shared" si="1"/>
        <v>6.943740434</v>
      </c>
      <c r="AJ15" t="str">
        <f t="shared" si="4"/>
        <v>18.00906305</v>
      </c>
      <c r="AK15" t="str">
        <f t="shared" si="4"/>
        <v>11.06532261</v>
      </c>
      <c r="AL15" t="str">
        <f t="shared" si="4"/>
        <v>250.2926038</v>
      </c>
      <c r="AM15" t="str">
        <f t="shared" si="4"/>
        <v>2541.551637</v>
      </c>
      <c r="AN15" t="str">
        <f t="shared" si="4"/>
        <v>243.8738808</v>
      </c>
      <c r="AO15" t="str">
        <f t="shared" si="4"/>
        <v>16.19644182</v>
      </c>
      <c r="AP15" t="str">
        <f t="shared" si="4"/>
        <v>250.2926038</v>
      </c>
      <c r="AQ15" t="str">
        <f t="shared" si="4"/>
        <v>12.9421345</v>
      </c>
      <c r="AR15" t="str">
        <f t="shared" si="4"/>
        <v>303.4965035</v>
      </c>
      <c r="AS15" t="str">
        <f t="shared" si="4"/>
        <v>0.734865135</v>
      </c>
      <c r="AT15" t="str">
        <f t="shared" si="4"/>
        <v>0.953146853</v>
      </c>
      <c r="AU15" t="str">
        <f t="shared" si="4"/>
        <v>0.582104775</v>
      </c>
      <c r="AV15" t="str">
        <f t="shared" si="4"/>
        <v>1.266283716</v>
      </c>
      <c r="AW15" t="str">
        <f t="shared" si="4"/>
        <v>0.961718216</v>
      </c>
      <c r="AX15" t="str">
        <f t="shared" si="4"/>
        <v>1.188859137</v>
      </c>
      <c r="AY15" t="str">
        <f t="shared" si="3"/>
        <v>21.23776224</v>
      </c>
      <c r="AZ15" t="str">
        <f t="shared" si="3"/>
        <v>24.01998002</v>
      </c>
      <c r="BA15">
        <f t="shared" si="3"/>
        <v>4</v>
      </c>
      <c r="BB15" t="str">
        <f t="shared" si="3"/>
        <v>19.91908092</v>
      </c>
      <c r="BC15" t="str">
        <f t="shared" si="3"/>
        <v>26.01998002</v>
      </c>
      <c r="BD15" t="str">
        <f t="shared" si="3"/>
        <v>0.491508492</v>
      </c>
      <c r="BE15" t="str">
        <f t="shared" si="3"/>
        <v>9.44035964</v>
      </c>
      <c r="BF15" t="str">
        <f t="shared" si="3"/>
        <v>2.112887113</v>
      </c>
      <c r="BG15" t="str">
        <f t="shared" si="3"/>
        <v>0.091635038</v>
      </c>
      <c r="BH15" t="str">
        <f t="shared" si="3"/>
        <v>0.948164194</v>
      </c>
      <c r="BI15" t="str">
        <f t="shared" si="3"/>
        <v>76.41795535</v>
      </c>
      <c r="BJ15" t="str">
        <f t="shared" si="3"/>
        <v>8.476542913</v>
      </c>
    </row>
    <row r="16" spans="1:62" x14ac:dyDescent="0.25">
      <c r="A16" s="3" t="s">
        <v>116</v>
      </c>
      <c r="B16" t="s">
        <v>417</v>
      </c>
      <c r="C16" t="s">
        <v>15</v>
      </c>
      <c r="D16" s="26"/>
      <c r="E16">
        <v>15</v>
      </c>
      <c r="F16">
        <v>5.7742053369999997</v>
      </c>
      <c r="G16">
        <v>19.483316519999999</v>
      </c>
      <c r="H16">
        <v>13.709111180000001</v>
      </c>
      <c r="I16">
        <v>278.66794520000002</v>
      </c>
      <c r="J16">
        <v>2934.1128159999998</v>
      </c>
      <c r="K16">
        <v>1137.160457</v>
      </c>
      <c r="L16">
        <v>14.145263849999999</v>
      </c>
      <c r="M16">
        <v>278.66794520000002</v>
      </c>
      <c r="N16">
        <v>14.056899169999999</v>
      </c>
      <c r="O16">
        <v>308.63544810000002</v>
      </c>
      <c r="P16">
        <v>0.68116817699999999</v>
      </c>
      <c r="Q16">
        <v>0.97814702899999995</v>
      </c>
      <c r="R16">
        <v>0.40389702900000002</v>
      </c>
      <c r="S16">
        <v>1.218429003</v>
      </c>
      <c r="T16">
        <v>0.90882695599999996</v>
      </c>
      <c r="U16">
        <v>1.09538772</v>
      </c>
      <c r="V16">
        <v>21.388721050000001</v>
      </c>
      <c r="W16">
        <v>24.024169180000001</v>
      </c>
      <c r="X16">
        <v>3.3957703929999998</v>
      </c>
      <c r="Y16">
        <v>19.998992950000002</v>
      </c>
      <c r="Z16">
        <v>26.018126890000001</v>
      </c>
      <c r="AA16">
        <v>0.55689828799999996</v>
      </c>
      <c r="AB16">
        <v>6.5288016109999996</v>
      </c>
      <c r="AC16">
        <v>1.7573011080000001</v>
      </c>
      <c r="AD16">
        <v>0.19683946199999999</v>
      </c>
      <c r="AE16">
        <v>0.85416985499999998</v>
      </c>
      <c r="AF16">
        <v>70.656203779999998</v>
      </c>
      <c r="AG16">
        <v>4.2618379849999997</v>
      </c>
      <c r="AI16" t="str">
        <f t="shared" si="1"/>
        <v>5.774205337</v>
      </c>
      <c r="AJ16" t="str">
        <f t="shared" si="4"/>
        <v>19.48331652</v>
      </c>
      <c r="AK16" t="str">
        <f t="shared" si="4"/>
        <v>13.70911118</v>
      </c>
      <c r="AL16" t="str">
        <f t="shared" si="4"/>
        <v>278.6679452</v>
      </c>
      <c r="AM16" t="str">
        <f t="shared" si="4"/>
        <v>2934.112816</v>
      </c>
      <c r="AN16" t="str">
        <f t="shared" si="4"/>
        <v>1137.160457</v>
      </c>
      <c r="AO16" t="str">
        <f t="shared" si="4"/>
        <v>14.14526385</v>
      </c>
      <c r="AP16" t="str">
        <f t="shared" si="4"/>
        <v>278.6679452</v>
      </c>
      <c r="AQ16" t="str">
        <f t="shared" si="4"/>
        <v>14.05689917</v>
      </c>
      <c r="AR16" t="str">
        <f t="shared" si="4"/>
        <v>308.6354481</v>
      </c>
      <c r="AS16" t="str">
        <f t="shared" si="4"/>
        <v>0.681168177</v>
      </c>
      <c r="AT16" t="str">
        <f t="shared" si="4"/>
        <v>0.978147029</v>
      </c>
      <c r="AU16" t="str">
        <f t="shared" si="4"/>
        <v>0.403897029</v>
      </c>
      <c r="AV16" t="str">
        <f t="shared" si="4"/>
        <v>1.218429003</v>
      </c>
      <c r="AW16" t="str">
        <f t="shared" si="4"/>
        <v>0.908826956</v>
      </c>
      <c r="AX16" t="str">
        <f t="shared" si="4"/>
        <v>1.09538772</v>
      </c>
      <c r="AY16" t="str">
        <f t="shared" si="3"/>
        <v>21.38872105</v>
      </c>
      <c r="AZ16" t="str">
        <f t="shared" si="3"/>
        <v>24.02416918</v>
      </c>
      <c r="BA16" t="str">
        <f t="shared" si="3"/>
        <v>3.395770393</v>
      </c>
      <c r="BB16" t="str">
        <f t="shared" si="3"/>
        <v>19.99899295</v>
      </c>
      <c r="BC16" t="str">
        <f t="shared" si="3"/>
        <v>26.01812689</v>
      </c>
      <c r="BD16" t="str">
        <f t="shared" si="3"/>
        <v>0.556898288</v>
      </c>
      <c r="BE16" t="str">
        <f t="shared" si="3"/>
        <v>6.528801611</v>
      </c>
      <c r="BF16" t="str">
        <f t="shared" si="3"/>
        <v>1.757301108</v>
      </c>
      <c r="BG16" t="str">
        <f t="shared" si="3"/>
        <v>0.196839462</v>
      </c>
      <c r="BH16" t="str">
        <f t="shared" si="3"/>
        <v>0.854169855</v>
      </c>
      <c r="BI16" t="str">
        <f t="shared" si="3"/>
        <v>70.65620378</v>
      </c>
      <c r="BJ16" t="str">
        <f t="shared" si="3"/>
        <v>4.261837985</v>
      </c>
    </row>
    <row r="17" spans="1:62" x14ac:dyDescent="0.25">
      <c r="A17" s="3" t="s">
        <v>118</v>
      </c>
      <c r="B17" t="s">
        <v>418</v>
      </c>
      <c r="C17" t="s">
        <v>15</v>
      </c>
      <c r="D17" t="s">
        <v>258</v>
      </c>
      <c r="E17">
        <v>16</v>
      </c>
      <c r="F17">
        <v>5.7742053369999997</v>
      </c>
      <c r="G17">
        <v>19.483316519999999</v>
      </c>
      <c r="H17">
        <v>13.709111180000001</v>
      </c>
      <c r="I17">
        <v>278.66794520000002</v>
      </c>
      <c r="J17">
        <v>2934.1128159999998</v>
      </c>
      <c r="K17">
        <v>1137.160457</v>
      </c>
      <c r="L17">
        <v>14.145263849999999</v>
      </c>
      <c r="M17">
        <v>278.66794520000002</v>
      </c>
      <c r="N17">
        <v>14.056899169999999</v>
      </c>
      <c r="O17">
        <v>308.63544810000002</v>
      </c>
      <c r="P17">
        <v>0.68116817699999999</v>
      </c>
      <c r="Q17">
        <v>0.97814702899999995</v>
      </c>
      <c r="R17">
        <v>0.40389702900000002</v>
      </c>
      <c r="S17">
        <v>1.218429003</v>
      </c>
      <c r="T17">
        <v>0.90882695599999996</v>
      </c>
      <c r="U17">
        <v>1.09538772</v>
      </c>
      <c r="V17">
        <v>21.388721050000001</v>
      </c>
      <c r="W17">
        <v>24.024169180000001</v>
      </c>
      <c r="X17">
        <v>3.3957703929999998</v>
      </c>
      <c r="Y17">
        <v>19.998992950000002</v>
      </c>
      <c r="Z17">
        <v>26.018126890000001</v>
      </c>
      <c r="AA17">
        <v>0.55689828799999996</v>
      </c>
      <c r="AB17">
        <v>6.5288016109999996</v>
      </c>
      <c r="AC17">
        <v>1.7573011080000001</v>
      </c>
      <c r="AD17">
        <v>0.19683946199999999</v>
      </c>
      <c r="AE17">
        <v>0.85416985499999998</v>
      </c>
      <c r="AF17">
        <v>70.656203779999998</v>
      </c>
      <c r="AG17">
        <v>4.2618379849999997</v>
      </c>
      <c r="AI17" t="str">
        <f t="shared" si="1"/>
        <v>5.774205337</v>
      </c>
      <c r="AJ17" t="str">
        <f t="shared" si="4"/>
        <v>19.48331652</v>
      </c>
      <c r="AK17" t="str">
        <f t="shared" si="4"/>
        <v>13.70911118</v>
      </c>
      <c r="AL17" t="str">
        <f t="shared" si="4"/>
        <v>278.6679452</v>
      </c>
      <c r="AM17" t="str">
        <f t="shared" si="4"/>
        <v>2934.112816</v>
      </c>
      <c r="AN17" t="str">
        <f t="shared" si="4"/>
        <v>1137.160457</v>
      </c>
      <c r="AO17" t="str">
        <f t="shared" si="4"/>
        <v>14.14526385</v>
      </c>
      <c r="AP17" t="str">
        <f t="shared" si="4"/>
        <v>278.6679452</v>
      </c>
      <c r="AQ17" t="str">
        <f t="shared" si="4"/>
        <v>14.05689917</v>
      </c>
      <c r="AR17" t="str">
        <f t="shared" si="4"/>
        <v>308.6354481</v>
      </c>
      <c r="AS17" t="str">
        <f t="shared" si="4"/>
        <v>0.681168177</v>
      </c>
      <c r="AT17" t="str">
        <f t="shared" si="4"/>
        <v>0.978147029</v>
      </c>
      <c r="AU17" t="str">
        <f t="shared" si="4"/>
        <v>0.403897029</v>
      </c>
      <c r="AV17" t="str">
        <f t="shared" si="4"/>
        <v>1.218429003</v>
      </c>
      <c r="AW17" t="str">
        <f t="shared" si="4"/>
        <v>0.908826956</v>
      </c>
      <c r="AX17" t="str">
        <f t="shared" si="4"/>
        <v>1.09538772</v>
      </c>
      <c r="AY17" t="str">
        <f t="shared" si="3"/>
        <v>21.38872105</v>
      </c>
      <c r="AZ17" t="str">
        <f t="shared" si="3"/>
        <v>24.02416918</v>
      </c>
      <c r="BA17" t="str">
        <f t="shared" si="3"/>
        <v>3.395770393</v>
      </c>
      <c r="BB17" t="str">
        <f t="shared" si="3"/>
        <v>19.99899295</v>
      </c>
      <c r="BC17" t="str">
        <f t="shared" si="3"/>
        <v>26.01812689</v>
      </c>
      <c r="BD17" t="str">
        <f t="shared" si="3"/>
        <v>0.556898288</v>
      </c>
      <c r="BE17" t="str">
        <f t="shared" si="3"/>
        <v>6.528801611</v>
      </c>
      <c r="BF17" t="str">
        <f t="shared" si="3"/>
        <v>1.757301108</v>
      </c>
      <c r="BG17" t="str">
        <f t="shared" si="3"/>
        <v>0.196839462</v>
      </c>
      <c r="BH17" t="str">
        <f t="shared" si="3"/>
        <v>0.854169855</v>
      </c>
      <c r="BI17" t="str">
        <f t="shared" si="3"/>
        <v>70.65620378</v>
      </c>
      <c r="BJ17" t="str">
        <f t="shared" si="3"/>
        <v>4.261837985</v>
      </c>
    </row>
    <row r="18" spans="1:62" x14ac:dyDescent="0.25">
      <c r="A18" s="3" t="s">
        <v>120</v>
      </c>
      <c r="B18" t="s">
        <v>419</v>
      </c>
      <c r="C18" t="s">
        <v>15</v>
      </c>
      <c r="D18" t="s">
        <v>259</v>
      </c>
      <c r="E18">
        <v>17</v>
      </c>
      <c r="F18">
        <v>3.6230277329999998</v>
      </c>
      <c r="G18">
        <v>21.13336391</v>
      </c>
      <c r="H18">
        <v>17.510336169999999</v>
      </c>
      <c r="I18">
        <v>309.534559</v>
      </c>
      <c r="J18">
        <v>3469.9661209999999</v>
      </c>
      <c r="K18">
        <v>2314.6306920000002</v>
      </c>
      <c r="L18">
        <v>16.52336816</v>
      </c>
      <c r="M18">
        <v>309.534559</v>
      </c>
      <c r="N18">
        <v>16.34695808</v>
      </c>
      <c r="O18">
        <v>252.28751829999999</v>
      </c>
      <c r="P18">
        <v>0.65922741200000001</v>
      </c>
      <c r="Q18">
        <v>0.98194897400000003</v>
      </c>
      <c r="R18">
        <v>0.40465181</v>
      </c>
      <c r="S18">
        <v>1.2572072489999999</v>
      </c>
      <c r="T18">
        <v>0.80516615300000005</v>
      </c>
      <c r="U18">
        <v>1.0905776469999999</v>
      </c>
      <c r="V18">
        <v>21.371296659999999</v>
      </c>
      <c r="W18">
        <v>24</v>
      </c>
      <c r="X18">
        <v>2.8146335819999999</v>
      </c>
      <c r="Y18">
        <v>20.00448725</v>
      </c>
      <c r="Z18">
        <v>26</v>
      </c>
      <c r="AA18">
        <v>0.34620758600000001</v>
      </c>
      <c r="AB18">
        <v>5.8460796740000003</v>
      </c>
      <c r="AC18">
        <v>1.5061457700000001</v>
      </c>
      <c r="AD18">
        <v>0.102123798</v>
      </c>
      <c r="AE18">
        <v>0.87538525300000003</v>
      </c>
      <c r="AF18">
        <v>70.449895010000006</v>
      </c>
      <c r="AG18">
        <v>4.4391764220000001</v>
      </c>
      <c r="AI18" t="str">
        <f t="shared" si="1"/>
        <v>3.623027733</v>
      </c>
      <c r="AJ18" t="str">
        <f t="shared" si="4"/>
        <v>21.13336391</v>
      </c>
      <c r="AK18" t="str">
        <f t="shared" si="4"/>
        <v>17.51033617</v>
      </c>
      <c r="AL18" t="str">
        <f t="shared" si="4"/>
        <v>309.534559</v>
      </c>
      <c r="AM18" t="str">
        <f t="shared" si="4"/>
        <v>3469.966121</v>
      </c>
      <c r="AN18" t="str">
        <f t="shared" si="4"/>
        <v>2314.630692</v>
      </c>
      <c r="AO18" t="str">
        <f t="shared" si="4"/>
        <v>16.52336816</v>
      </c>
      <c r="AP18" t="str">
        <f t="shared" si="4"/>
        <v>309.534559</v>
      </c>
      <c r="AQ18" t="str">
        <f t="shared" si="4"/>
        <v>16.34695808</v>
      </c>
      <c r="AR18" t="str">
        <f t="shared" si="4"/>
        <v>252.2875183</v>
      </c>
      <c r="AS18" t="str">
        <f t="shared" si="4"/>
        <v>0.659227412</v>
      </c>
      <c r="AT18" t="str">
        <f t="shared" si="4"/>
        <v>0.981948974</v>
      </c>
      <c r="AU18" t="str">
        <f t="shared" si="4"/>
        <v>0.40465181</v>
      </c>
      <c r="AV18" t="str">
        <f t="shared" si="4"/>
        <v>1.257207249</v>
      </c>
      <c r="AW18" t="str">
        <f t="shared" si="4"/>
        <v>0.805166153</v>
      </c>
      <c r="AX18" t="str">
        <f t="shared" si="4"/>
        <v>1.090577647</v>
      </c>
      <c r="AY18" t="str">
        <f t="shared" si="3"/>
        <v>21.37129666</v>
      </c>
      <c r="AZ18">
        <f t="shared" si="3"/>
        <v>24</v>
      </c>
      <c r="BA18" t="str">
        <f t="shared" si="3"/>
        <v>2.814633582</v>
      </c>
      <c r="BB18" t="str">
        <f t="shared" si="3"/>
        <v>20.00448725</v>
      </c>
      <c r="BC18">
        <f t="shared" si="3"/>
        <v>26</v>
      </c>
      <c r="BD18" t="str">
        <f t="shared" si="3"/>
        <v>0.346207586</v>
      </c>
      <c r="BE18" t="str">
        <f t="shared" si="3"/>
        <v>5.846079674</v>
      </c>
      <c r="BF18" t="str">
        <f t="shared" si="3"/>
        <v>1.50614577</v>
      </c>
      <c r="BG18" t="str">
        <f t="shared" si="3"/>
        <v>0.102123798</v>
      </c>
      <c r="BH18" t="str">
        <f t="shared" si="3"/>
        <v>0.875385253</v>
      </c>
      <c r="BI18" t="str">
        <f t="shared" si="3"/>
        <v>70.44989501</v>
      </c>
      <c r="BJ18" t="str">
        <f t="shared" si="3"/>
        <v>4.439176422</v>
      </c>
    </row>
    <row r="19" spans="1:62" x14ac:dyDescent="0.25">
      <c r="A19" s="3" t="s">
        <v>122</v>
      </c>
      <c r="B19" t="s">
        <v>420</v>
      </c>
      <c r="C19" t="s">
        <v>15</v>
      </c>
      <c r="D19" t="s">
        <v>260</v>
      </c>
      <c r="E19">
        <v>18</v>
      </c>
      <c r="F19">
        <v>7.0372804029999996</v>
      </c>
      <c r="G19">
        <v>18.530375670000002</v>
      </c>
      <c r="H19">
        <v>11.49309527</v>
      </c>
      <c r="I19">
        <v>260.92357950000002</v>
      </c>
      <c r="J19">
        <v>2623.7025699999999</v>
      </c>
      <c r="K19">
        <v>452.67153960000002</v>
      </c>
      <c r="L19">
        <v>13.132554069999999</v>
      </c>
      <c r="M19">
        <v>260.92357950000002</v>
      </c>
      <c r="N19">
        <v>13.029242180000001</v>
      </c>
      <c r="O19">
        <v>329.22110550000002</v>
      </c>
      <c r="P19">
        <v>0.68804020099999996</v>
      </c>
      <c r="Q19">
        <v>0.97783919600000002</v>
      </c>
      <c r="R19">
        <v>0.40185489899999999</v>
      </c>
      <c r="S19">
        <v>1.214422111</v>
      </c>
      <c r="T19">
        <v>0.97101767100000003</v>
      </c>
      <c r="U19">
        <v>1.103539947</v>
      </c>
      <c r="V19">
        <v>21.397989949999999</v>
      </c>
      <c r="W19">
        <v>24.0241206</v>
      </c>
      <c r="X19">
        <v>3.6301507540000002</v>
      </c>
      <c r="Y19">
        <v>19.990954769999998</v>
      </c>
      <c r="Z19">
        <v>26.018090449999999</v>
      </c>
      <c r="AA19">
        <v>0.63718593000000001</v>
      </c>
      <c r="AB19">
        <v>6.7240201009999998</v>
      </c>
      <c r="AC19">
        <v>1.854271357</v>
      </c>
      <c r="AD19">
        <v>0.25122783199999998</v>
      </c>
      <c r="AE19">
        <v>0.84532290300000001</v>
      </c>
      <c r="AF19">
        <v>70.797370959999995</v>
      </c>
      <c r="AG19">
        <v>4.0272743369999997</v>
      </c>
      <c r="AI19" t="str">
        <f t="shared" si="1"/>
        <v>7.037280403</v>
      </c>
      <c r="AJ19" t="str">
        <f t="shared" si="4"/>
        <v>18.53037567</v>
      </c>
      <c r="AK19" t="str">
        <f t="shared" si="4"/>
        <v>11.49309527</v>
      </c>
      <c r="AL19" t="str">
        <f t="shared" si="4"/>
        <v>260.9235795</v>
      </c>
      <c r="AM19" t="str">
        <f t="shared" si="4"/>
        <v>2623.70257</v>
      </c>
      <c r="AN19" t="str">
        <f t="shared" si="4"/>
        <v>452.6715396</v>
      </c>
      <c r="AO19" t="str">
        <f t="shared" si="4"/>
        <v>13.13255407</v>
      </c>
      <c r="AP19" t="str">
        <f t="shared" si="4"/>
        <v>260.9235795</v>
      </c>
      <c r="AQ19" t="str">
        <f t="shared" si="4"/>
        <v>13.02924218</v>
      </c>
      <c r="AR19" t="str">
        <f t="shared" si="4"/>
        <v>329.2211055</v>
      </c>
      <c r="AS19" t="str">
        <f t="shared" si="4"/>
        <v>0.688040201</v>
      </c>
      <c r="AT19" t="str">
        <f t="shared" si="4"/>
        <v>0.977839196</v>
      </c>
      <c r="AU19" t="str">
        <f t="shared" si="4"/>
        <v>0.401854899</v>
      </c>
      <c r="AV19" t="str">
        <f t="shared" si="4"/>
        <v>1.214422111</v>
      </c>
      <c r="AW19" t="str">
        <f t="shared" si="4"/>
        <v>0.971017671</v>
      </c>
      <c r="AX19" t="str">
        <f t="shared" si="4"/>
        <v>1.103539947</v>
      </c>
      <c r="AY19" t="str">
        <f t="shared" si="3"/>
        <v>21.39798995</v>
      </c>
      <c r="AZ19" t="str">
        <f t="shared" si="3"/>
        <v>24.0241206</v>
      </c>
      <c r="BA19" t="str">
        <f t="shared" si="3"/>
        <v>3.630150754</v>
      </c>
      <c r="BB19" t="str">
        <f t="shared" si="3"/>
        <v>19.99095477</v>
      </c>
      <c r="BC19" t="str">
        <f t="shared" si="3"/>
        <v>26.01809045</v>
      </c>
      <c r="BD19" t="str">
        <f t="shared" si="3"/>
        <v>0.63718593</v>
      </c>
      <c r="BE19" t="str">
        <f t="shared" si="3"/>
        <v>6.724020101</v>
      </c>
      <c r="BF19" t="str">
        <f t="shared" si="3"/>
        <v>1.854271357</v>
      </c>
      <c r="BG19" t="str">
        <f t="shared" si="3"/>
        <v>0.251227832</v>
      </c>
      <c r="BH19" t="str">
        <f t="shared" si="3"/>
        <v>0.845322903</v>
      </c>
      <c r="BI19" t="str">
        <f t="shared" si="3"/>
        <v>70.79737096</v>
      </c>
      <c r="BJ19" t="str">
        <f t="shared" si="3"/>
        <v>4.027274337</v>
      </c>
    </row>
    <row r="20" spans="1:62" x14ac:dyDescent="0.25">
      <c r="A20" s="3" t="s">
        <v>124</v>
      </c>
      <c r="B20" t="s">
        <v>421</v>
      </c>
      <c r="C20" t="s">
        <v>15</v>
      </c>
      <c r="D20" t="s">
        <v>261</v>
      </c>
      <c r="E20">
        <v>19</v>
      </c>
      <c r="F20">
        <v>4.5026938059999999</v>
      </c>
      <c r="G20">
        <v>20.19490133</v>
      </c>
      <c r="H20">
        <v>15.69220752</v>
      </c>
      <c r="I20">
        <v>292.15364749999998</v>
      </c>
      <c r="J20">
        <v>3209.6438280000002</v>
      </c>
      <c r="K20">
        <v>1719.700996</v>
      </c>
      <c r="L20">
        <v>15.2100335</v>
      </c>
      <c r="M20">
        <v>292.15364749999998</v>
      </c>
      <c r="N20">
        <v>15.2100335</v>
      </c>
      <c r="O20">
        <v>316.33537209999997</v>
      </c>
      <c r="P20">
        <v>0.73027522899999997</v>
      </c>
      <c r="Q20">
        <v>0.96707441400000005</v>
      </c>
      <c r="R20">
        <v>0.43883467700000001</v>
      </c>
      <c r="S20">
        <v>1.2096330280000001</v>
      </c>
      <c r="T20">
        <v>0.85687339699999998</v>
      </c>
      <c r="U20">
        <v>1.035349217</v>
      </c>
      <c r="V20">
        <v>21.274209989999999</v>
      </c>
      <c r="W20">
        <v>24</v>
      </c>
      <c r="X20">
        <v>2.903160041</v>
      </c>
      <c r="Y20">
        <v>20</v>
      </c>
      <c r="Z20">
        <v>26</v>
      </c>
      <c r="AA20">
        <v>0.51172273199999996</v>
      </c>
      <c r="AB20">
        <v>9.1168195720000007</v>
      </c>
      <c r="AC20">
        <v>2.1202854229999999</v>
      </c>
      <c r="AD20">
        <v>0.222134198</v>
      </c>
      <c r="AE20">
        <v>0.81632211700000001</v>
      </c>
      <c r="AF20">
        <v>70.102771009999998</v>
      </c>
      <c r="AG20">
        <v>5.5286236300000002</v>
      </c>
      <c r="AI20" t="str">
        <f t="shared" si="1"/>
        <v>4.502693806</v>
      </c>
      <c r="AJ20" t="str">
        <f t="shared" si="4"/>
        <v>20.19490133</v>
      </c>
      <c r="AK20" t="str">
        <f t="shared" si="4"/>
        <v>15.69220752</v>
      </c>
      <c r="AL20" t="str">
        <f t="shared" si="4"/>
        <v>292.1536475</v>
      </c>
      <c r="AM20" t="str">
        <f t="shared" si="4"/>
        <v>3209.643828</v>
      </c>
      <c r="AN20" t="str">
        <f t="shared" si="4"/>
        <v>1719.700996</v>
      </c>
      <c r="AO20" t="str">
        <f t="shared" si="4"/>
        <v>15.2100335</v>
      </c>
      <c r="AP20" t="str">
        <f t="shared" si="4"/>
        <v>292.1536475</v>
      </c>
      <c r="AQ20" t="str">
        <f t="shared" si="4"/>
        <v>15.2100335</v>
      </c>
      <c r="AR20" t="str">
        <f t="shared" si="4"/>
        <v>316.3353721</v>
      </c>
      <c r="AS20" t="str">
        <f t="shared" si="4"/>
        <v>0.730275229</v>
      </c>
      <c r="AT20" t="str">
        <f t="shared" si="4"/>
        <v>0.967074414</v>
      </c>
      <c r="AU20" t="str">
        <f t="shared" si="4"/>
        <v>0.438834677</v>
      </c>
      <c r="AV20" t="str">
        <f t="shared" si="4"/>
        <v>1.209633028</v>
      </c>
      <c r="AW20" t="str">
        <f t="shared" si="4"/>
        <v>0.856873397</v>
      </c>
      <c r="AX20" t="str">
        <f t="shared" si="4"/>
        <v>1.035349217</v>
      </c>
      <c r="AY20" t="str">
        <f t="shared" si="3"/>
        <v>21.27420999</v>
      </c>
      <c r="AZ20">
        <f t="shared" si="3"/>
        <v>24</v>
      </c>
      <c r="BA20" t="str">
        <f t="shared" si="3"/>
        <v>2.903160041</v>
      </c>
      <c r="BB20">
        <f t="shared" si="3"/>
        <v>20</v>
      </c>
      <c r="BC20">
        <f t="shared" si="3"/>
        <v>26</v>
      </c>
      <c r="BD20" t="str">
        <f t="shared" si="3"/>
        <v>0.511722732</v>
      </c>
      <c r="BE20" t="str">
        <f t="shared" si="3"/>
        <v>9.116819572</v>
      </c>
      <c r="BF20" t="str">
        <f t="shared" si="3"/>
        <v>2.120285423</v>
      </c>
      <c r="BG20" t="str">
        <f t="shared" si="3"/>
        <v>0.222134198</v>
      </c>
      <c r="BH20" t="str">
        <f t="shared" si="3"/>
        <v>0.816322117</v>
      </c>
      <c r="BI20" t="str">
        <f t="shared" si="3"/>
        <v>70.10277101</v>
      </c>
      <c r="BJ20" t="str">
        <f t="shared" si="3"/>
        <v>5.52862363</v>
      </c>
    </row>
    <row r="21" spans="1:62" x14ac:dyDescent="0.25">
      <c r="A21" s="3" t="s">
        <v>126</v>
      </c>
      <c r="B21" t="s">
        <v>422</v>
      </c>
      <c r="C21" t="s">
        <v>15</v>
      </c>
      <c r="D21" t="s">
        <v>262</v>
      </c>
      <c r="E21">
        <v>20</v>
      </c>
      <c r="F21">
        <v>5.7358613500000004</v>
      </c>
      <c r="G21">
        <v>18.503475609999999</v>
      </c>
      <c r="H21">
        <v>12.76761426</v>
      </c>
      <c r="I21">
        <v>279.40119120000003</v>
      </c>
      <c r="J21">
        <v>2672.7194979999999</v>
      </c>
      <c r="K21">
        <v>1052.993121</v>
      </c>
      <c r="L21">
        <v>14.50747823</v>
      </c>
      <c r="M21">
        <v>279.40119120000003</v>
      </c>
      <c r="N21">
        <v>14.49362751</v>
      </c>
      <c r="O21">
        <v>286.70403670000002</v>
      </c>
      <c r="P21">
        <v>0.66379250400000001</v>
      </c>
      <c r="Q21">
        <v>0.97322921500000004</v>
      </c>
      <c r="R21">
        <v>0.486079017</v>
      </c>
      <c r="S21">
        <v>1.165009435</v>
      </c>
      <c r="T21">
        <v>0.88912826499999997</v>
      </c>
      <c r="U21">
        <v>1.0424316250000001</v>
      </c>
      <c r="V21">
        <v>21.284115880000002</v>
      </c>
      <c r="W21">
        <v>24.214304210000002</v>
      </c>
      <c r="X21">
        <v>3.4408258410000001</v>
      </c>
      <c r="Y21">
        <v>20.07232767</v>
      </c>
      <c r="Z21">
        <v>26.160728160000001</v>
      </c>
      <c r="AA21">
        <v>0.55477115499999996</v>
      </c>
      <c r="AB21">
        <v>7.2694331590000001</v>
      </c>
      <c r="AC21">
        <v>1.7889258889999999</v>
      </c>
      <c r="AD21">
        <v>0.25083402999999999</v>
      </c>
      <c r="AE21">
        <v>0.819486406</v>
      </c>
      <c r="AF21">
        <v>70.359228470000005</v>
      </c>
      <c r="AG21">
        <v>5.4416458460000001</v>
      </c>
      <c r="AI21" t="str">
        <f t="shared" si="1"/>
        <v>5.73586135</v>
      </c>
      <c r="AJ21" t="str">
        <f t="shared" si="4"/>
        <v>18.50347561</v>
      </c>
      <c r="AK21" t="str">
        <f t="shared" si="4"/>
        <v>12.76761426</v>
      </c>
      <c r="AL21" t="str">
        <f t="shared" si="4"/>
        <v>279.4011912</v>
      </c>
      <c r="AM21" t="str">
        <f t="shared" si="4"/>
        <v>2672.719498</v>
      </c>
      <c r="AN21" t="str">
        <f t="shared" si="4"/>
        <v>1052.993121</v>
      </c>
      <c r="AO21" t="str">
        <f t="shared" si="4"/>
        <v>14.50747823</v>
      </c>
      <c r="AP21" t="str">
        <f t="shared" si="4"/>
        <v>279.4011912</v>
      </c>
      <c r="AQ21" t="str">
        <f t="shared" si="4"/>
        <v>14.49362751</v>
      </c>
      <c r="AR21" t="str">
        <f t="shared" si="4"/>
        <v>286.7040367</v>
      </c>
      <c r="AS21" t="str">
        <f t="shared" si="4"/>
        <v>0.663792504</v>
      </c>
      <c r="AT21" t="str">
        <f t="shared" si="4"/>
        <v>0.973229215</v>
      </c>
      <c r="AU21" t="str">
        <f t="shared" si="4"/>
        <v>0.486079017</v>
      </c>
      <c r="AV21" t="str">
        <f t="shared" si="4"/>
        <v>1.165009435</v>
      </c>
      <c r="AW21" t="str">
        <f t="shared" si="4"/>
        <v>0.889128265</v>
      </c>
      <c r="AX21" t="str">
        <f t="shared" si="4"/>
        <v>1.042431625</v>
      </c>
      <c r="AY21" t="str">
        <f t="shared" si="3"/>
        <v>21.28411588</v>
      </c>
      <c r="AZ21" t="str">
        <f t="shared" si="3"/>
        <v>24.21430421</v>
      </c>
      <c r="BA21" t="str">
        <f t="shared" si="3"/>
        <v>3.440825841</v>
      </c>
      <c r="BB21" t="str">
        <f t="shared" si="3"/>
        <v>20.07232767</v>
      </c>
      <c r="BC21" t="str">
        <f t="shared" si="3"/>
        <v>26.16072816</v>
      </c>
      <c r="BD21" t="str">
        <f t="shared" si="3"/>
        <v>0.554771155</v>
      </c>
      <c r="BE21" t="str">
        <f t="shared" si="3"/>
        <v>7.269433159</v>
      </c>
      <c r="BF21" t="str">
        <f t="shared" si="3"/>
        <v>1.788925889</v>
      </c>
      <c r="BG21" t="str">
        <f t="shared" si="3"/>
        <v>0.25083403</v>
      </c>
      <c r="BH21" t="str">
        <f t="shared" si="3"/>
        <v>0.819486406</v>
      </c>
      <c r="BI21" t="str">
        <f t="shared" si="3"/>
        <v>70.35922847</v>
      </c>
      <c r="BJ21" t="str">
        <f t="shared" si="3"/>
        <v>5.441645846</v>
      </c>
    </row>
    <row r="22" spans="1:62" x14ac:dyDescent="0.25">
      <c r="A22" s="3" t="s">
        <v>128</v>
      </c>
      <c r="B22" t="s">
        <v>423</v>
      </c>
      <c r="C22" t="s">
        <v>15</v>
      </c>
      <c r="D22" t="s">
        <v>263</v>
      </c>
      <c r="E22">
        <v>21</v>
      </c>
      <c r="F22">
        <v>7.0372804029999996</v>
      </c>
      <c r="G22">
        <v>18.530375670000002</v>
      </c>
      <c r="H22">
        <v>11.49309527</v>
      </c>
      <c r="I22">
        <v>260.92357950000002</v>
      </c>
      <c r="J22">
        <v>2623.7025699999999</v>
      </c>
      <c r="K22">
        <v>452.67153960000002</v>
      </c>
      <c r="L22">
        <v>13.132554069999999</v>
      </c>
      <c r="M22">
        <v>260.92357950000002</v>
      </c>
      <c r="N22">
        <v>13.029242180000001</v>
      </c>
      <c r="O22">
        <v>329.22110550000002</v>
      </c>
      <c r="P22">
        <v>0.68804020099999996</v>
      </c>
      <c r="Q22">
        <v>0.97783919600000002</v>
      </c>
      <c r="R22">
        <v>0.40185489899999999</v>
      </c>
      <c r="S22">
        <v>1.214422111</v>
      </c>
      <c r="T22">
        <v>0.97101767100000003</v>
      </c>
      <c r="U22">
        <v>1.103539947</v>
      </c>
      <c r="V22">
        <v>21.397989949999999</v>
      </c>
      <c r="W22">
        <v>24.0241206</v>
      </c>
      <c r="X22">
        <v>3.6301507540000002</v>
      </c>
      <c r="Y22">
        <v>19.990954769999998</v>
      </c>
      <c r="Z22">
        <v>26.018090449999999</v>
      </c>
      <c r="AA22">
        <v>0.63718593000000001</v>
      </c>
      <c r="AB22">
        <v>6.7240201009999998</v>
      </c>
      <c r="AC22">
        <v>1.854271357</v>
      </c>
      <c r="AD22">
        <v>0.25122783199999998</v>
      </c>
      <c r="AE22">
        <v>0.84532290300000001</v>
      </c>
      <c r="AF22">
        <v>70.797370959999995</v>
      </c>
      <c r="AG22">
        <v>4.0272743369999997</v>
      </c>
      <c r="AI22" t="str">
        <f t="shared" si="1"/>
        <v>7.037280403</v>
      </c>
      <c r="AJ22" t="str">
        <f t="shared" si="4"/>
        <v>18.53037567</v>
      </c>
      <c r="AK22" t="str">
        <f t="shared" si="4"/>
        <v>11.49309527</v>
      </c>
      <c r="AL22" t="str">
        <f t="shared" si="4"/>
        <v>260.9235795</v>
      </c>
      <c r="AM22" t="str">
        <f t="shared" si="4"/>
        <v>2623.70257</v>
      </c>
      <c r="AN22" t="str">
        <f t="shared" si="4"/>
        <v>452.6715396</v>
      </c>
      <c r="AO22" t="str">
        <f t="shared" si="4"/>
        <v>13.13255407</v>
      </c>
      <c r="AP22" t="str">
        <f t="shared" si="4"/>
        <v>260.9235795</v>
      </c>
      <c r="AQ22" t="str">
        <f t="shared" si="4"/>
        <v>13.02924218</v>
      </c>
      <c r="AR22" t="str">
        <f t="shared" si="4"/>
        <v>329.2211055</v>
      </c>
      <c r="AS22" t="str">
        <f t="shared" si="4"/>
        <v>0.688040201</v>
      </c>
      <c r="AT22" t="str">
        <f t="shared" si="4"/>
        <v>0.977839196</v>
      </c>
      <c r="AU22" t="str">
        <f t="shared" si="4"/>
        <v>0.401854899</v>
      </c>
      <c r="AV22" t="str">
        <f t="shared" si="4"/>
        <v>1.214422111</v>
      </c>
      <c r="AW22" t="str">
        <f t="shared" si="4"/>
        <v>0.971017671</v>
      </c>
      <c r="AX22" t="str">
        <f t="shared" si="4"/>
        <v>1.103539947</v>
      </c>
      <c r="AY22" t="str">
        <f t="shared" si="3"/>
        <v>21.39798995</v>
      </c>
      <c r="AZ22" t="str">
        <f t="shared" si="3"/>
        <v>24.0241206</v>
      </c>
      <c r="BA22" t="str">
        <f t="shared" si="3"/>
        <v>3.630150754</v>
      </c>
      <c r="BB22" t="str">
        <f t="shared" si="3"/>
        <v>19.99095477</v>
      </c>
      <c r="BC22" t="str">
        <f t="shared" si="3"/>
        <v>26.01809045</v>
      </c>
      <c r="BD22" t="str">
        <f t="shared" si="3"/>
        <v>0.63718593</v>
      </c>
      <c r="BE22" t="str">
        <f t="shared" si="3"/>
        <v>6.724020101</v>
      </c>
      <c r="BF22" t="str">
        <f t="shared" si="3"/>
        <v>1.854271357</v>
      </c>
      <c r="BG22" t="str">
        <f t="shared" si="3"/>
        <v>0.251227832</v>
      </c>
      <c r="BH22" t="str">
        <f t="shared" si="3"/>
        <v>0.845322903</v>
      </c>
      <c r="BI22" t="str">
        <f t="shared" si="3"/>
        <v>70.79737096</v>
      </c>
      <c r="BJ22" t="str">
        <f t="shared" si="3"/>
        <v>4.027274337</v>
      </c>
    </row>
    <row r="23" spans="1:62" x14ac:dyDescent="0.25">
      <c r="A23" s="3" t="s">
        <v>512</v>
      </c>
      <c r="B23" t="s">
        <v>424</v>
      </c>
      <c r="C23" t="s">
        <v>15</v>
      </c>
      <c r="D23" t="s">
        <v>264</v>
      </c>
      <c r="E23">
        <v>22</v>
      </c>
      <c r="F23">
        <v>7.0372804029999996</v>
      </c>
      <c r="G23">
        <v>18.530375670000002</v>
      </c>
      <c r="H23">
        <v>11.49309527</v>
      </c>
      <c r="I23">
        <v>260.92357950000002</v>
      </c>
      <c r="J23">
        <v>2623.7025699999999</v>
      </c>
      <c r="K23">
        <v>452.67153960000002</v>
      </c>
      <c r="L23">
        <v>13.132554069999999</v>
      </c>
      <c r="M23">
        <v>260.92357950000002</v>
      </c>
      <c r="N23">
        <v>13.029242180000001</v>
      </c>
      <c r="O23">
        <v>329.22110550000002</v>
      </c>
      <c r="P23">
        <v>0.68804020099999996</v>
      </c>
      <c r="Q23">
        <v>0.97783919600000002</v>
      </c>
      <c r="R23">
        <v>0.40185489899999999</v>
      </c>
      <c r="S23">
        <v>1.214422111</v>
      </c>
      <c r="T23">
        <v>0.97101767100000003</v>
      </c>
      <c r="U23">
        <v>1.103539947</v>
      </c>
      <c r="V23">
        <v>21.397989949999999</v>
      </c>
      <c r="W23">
        <v>24.0241206</v>
      </c>
      <c r="X23">
        <v>3.6301507540000002</v>
      </c>
      <c r="Y23">
        <v>19.990954769999998</v>
      </c>
      <c r="Z23">
        <v>26.018090449999999</v>
      </c>
      <c r="AA23">
        <v>0.63718593000000001</v>
      </c>
      <c r="AB23">
        <v>6.7240201009999998</v>
      </c>
      <c r="AC23">
        <v>1.854271357</v>
      </c>
      <c r="AD23">
        <v>0.25122783199999998</v>
      </c>
      <c r="AE23">
        <v>0.84532290300000001</v>
      </c>
      <c r="AF23">
        <v>70.797370959999995</v>
      </c>
      <c r="AG23">
        <v>4.0272743369999997</v>
      </c>
      <c r="AI23" t="str">
        <f t="shared" si="1"/>
        <v>7.037280403</v>
      </c>
      <c r="AJ23" t="str">
        <f t="shared" si="4"/>
        <v>18.53037567</v>
      </c>
      <c r="AK23" t="str">
        <f t="shared" si="4"/>
        <v>11.49309527</v>
      </c>
      <c r="AL23" t="str">
        <f t="shared" si="4"/>
        <v>260.9235795</v>
      </c>
      <c r="AM23" t="str">
        <f t="shared" si="4"/>
        <v>2623.70257</v>
      </c>
      <c r="AN23" t="str">
        <f t="shared" si="4"/>
        <v>452.6715396</v>
      </c>
      <c r="AO23" t="str">
        <f t="shared" si="4"/>
        <v>13.13255407</v>
      </c>
      <c r="AP23" t="str">
        <f t="shared" si="4"/>
        <v>260.9235795</v>
      </c>
      <c r="AQ23" t="str">
        <f t="shared" si="4"/>
        <v>13.02924218</v>
      </c>
      <c r="AR23" t="str">
        <f t="shared" si="4"/>
        <v>329.2211055</v>
      </c>
      <c r="AS23" t="str">
        <f t="shared" si="4"/>
        <v>0.688040201</v>
      </c>
      <c r="AT23" t="str">
        <f t="shared" si="4"/>
        <v>0.977839196</v>
      </c>
      <c r="AU23" t="str">
        <f t="shared" si="4"/>
        <v>0.401854899</v>
      </c>
      <c r="AV23" t="str">
        <f t="shared" si="4"/>
        <v>1.214422111</v>
      </c>
      <c r="AW23" t="str">
        <f t="shared" si="4"/>
        <v>0.971017671</v>
      </c>
      <c r="AX23" t="str">
        <f t="shared" si="4"/>
        <v>1.103539947</v>
      </c>
      <c r="AY23" t="str">
        <f t="shared" si="3"/>
        <v>21.39798995</v>
      </c>
      <c r="AZ23" t="str">
        <f t="shared" si="3"/>
        <v>24.0241206</v>
      </c>
      <c r="BA23" t="str">
        <f t="shared" si="3"/>
        <v>3.630150754</v>
      </c>
      <c r="BB23" t="str">
        <f t="shared" si="3"/>
        <v>19.99095477</v>
      </c>
      <c r="BC23" t="str">
        <f t="shared" si="3"/>
        <v>26.01809045</v>
      </c>
      <c r="BD23" t="str">
        <f t="shared" si="3"/>
        <v>0.63718593</v>
      </c>
      <c r="BE23" t="str">
        <f t="shared" si="3"/>
        <v>6.724020101</v>
      </c>
      <c r="BF23" t="str">
        <f t="shared" si="3"/>
        <v>1.854271357</v>
      </c>
      <c r="BG23" t="str">
        <f t="shared" si="3"/>
        <v>0.251227832</v>
      </c>
      <c r="BH23" t="str">
        <f t="shared" si="3"/>
        <v>0.845322903</v>
      </c>
      <c r="BI23" t="str">
        <f t="shared" si="3"/>
        <v>70.79737096</v>
      </c>
      <c r="BJ23" t="str">
        <f t="shared" si="3"/>
        <v>4.027274337</v>
      </c>
    </row>
    <row r="24" spans="1:62" x14ac:dyDescent="0.25">
      <c r="A24" s="3" t="s">
        <v>133</v>
      </c>
      <c r="B24" t="s">
        <v>425</v>
      </c>
      <c r="C24" t="s">
        <v>15</v>
      </c>
      <c r="D24" t="s">
        <v>265</v>
      </c>
      <c r="E24">
        <v>23</v>
      </c>
      <c r="F24">
        <v>7.0372804029999996</v>
      </c>
      <c r="G24">
        <v>18.530375670000002</v>
      </c>
      <c r="H24">
        <v>11.49309527</v>
      </c>
      <c r="I24">
        <v>260.92357950000002</v>
      </c>
      <c r="J24">
        <v>2623.7025699999999</v>
      </c>
      <c r="K24">
        <v>452.67153960000002</v>
      </c>
      <c r="L24">
        <v>13.132554069999999</v>
      </c>
      <c r="M24">
        <v>260.92357950000002</v>
      </c>
      <c r="N24">
        <v>13.029242180000001</v>
      </c>
      <c r="O24">
        <v>329.22110550000002</v>
      </c>
      <c r="P24">
        <v>0.68804020099999996</v>
      </c>
      <c r="Q24">
        <v>0.97783919600000002</v>
      </c>
      <c r="R24">
        <v>0.40185489899999999</v>
      </c>
      <c r="S24">
        <v>1.214422111</v>
      </c>
      <c r="T24">
        <v>0.97101767100000003</v>
      </c>
      <c r="U24">
        <v>1.103539947</v>
      </c>
      <c r="V24">
        <v>21.397989949999999</v>
      </c>
      <c r="W24">
        <v>24.0241206</v>
      </c>
      <c r="X24">
        <v>3.6301507540000002</v>
      </c>
      <c r="Y24">
        <v>19.990954769999998</v>
      </c>
      <c r="Z24">
        <v>26.018090449999999</v>
      </c>
      <c r="AA24">
        <v>0.63718593000000001</v>
      </c>
      <c r="AB24">
        <v>6.7240201009999998</v>
      </c>
      <c r="AC24">
        <v>1.854271357</v>
      </c>
      <c r="AD24">
        <v>0.25122783199999998</v>
      </c>
      <c r="AE24">
        <v>0.84532290300000001</v>
      </c>
      <c r="AF24">
        <v>70.797370959999995</v>
      </c>
      <c r="AG24">
        <v>4.0272743369999997</v>
      </c>
      <c r="AI24" t="str">
        <f t="shared" si="1"/>
        <v>7.037280403</v>
      </c>
      <c r="AJ24" t="str">
        <f t="shared" si="4"/>
        <v>18.53037567</v>
      </c>
      <c r="AK24" t="str">
        <f t="shared" si="4"/>
        <v>11.49309527</v>
      </c>
      <c r="AL24" t="str">
        <f t="shared" si="4"/>
        <v>260.9235795</v>
      </c>
      <c r="AM24" t="str">
        <f t="shared" si="4"/>
        <v>2623.70257</v>
      </c>
      <c r="AN24" t="str">
        <f t="shared" si="4"/>
        <v>452.6715396</v>
      </c>
      <c r="AO24" t="str">
        <f t="shared" si="4"/>
        <v>13.13255407</v>
      </c>
      <c r="AP24" t="str">
        <f t="shared" si="4"/>
        <v>260.9235795</v>
      </c>
      <c r="AQ24" t="str">
        <f t="shared" si="4"/>
        <v>13.02924218</v>
      </c>
      <c r="AR24" t="str">
        <f t="shared" si="4"/>
        <v>329.2211055</v>
      </c>
      <c r="AS24" t="str">
        <f t="shared" si="4"/>
        <v>0.688040201</v>
      </c>
      <c r="AT24" t="str">
        <f t="shared" si="4"/>
        <v>0.977839196</v>
      </c>
      <c r="AU24" t="str">
        <f t="shared" si="4"/>
        <v>0.401854899</v>
      </c>
      <c r="AV24" t="str">
        <f t="shared" si="4"/>
        <v>1.214422111</v>
      </c>
      <c r="AW24" t="str">
        <f t="shared" si="4"/>
        <v>0.971017671</v>
      </c>
      <c r="AX24" t="str">
        <f t="shared" si="4"/>
        <v>1.103539947</v>
      </c>
      <c r="AY24" t="str">
        <f t="shared" si="3"/>
        <v>21.39798995</v>
      </c>
      <c r="AZ24" t="str">
        <f t="shared" si="3"/>
        <v>24.0241206</v>
      </c>
      <c r="BA24" t="str">
        <f t="shared" si="3"/>
        <v>3.630150754</v>
      </c>
      <c r="BB24" t="str">
        <f t="shared" si="3"/>
        <v>19.99095477</v>
      </c>
      <c r="BC24" t="str">
        <f t="shared" si="3"/>
        <v>26.01809045</v>
      </c>
      <c r="BD24" t="str">
        <f t="shared" si="3"/>
        <v>0.63718593</v>
      </c>
      <c r="BE24" t="str">
        <f t="shared" si="3"/>
        <v>6.724020101</v>
      </c>
      <c r="BF24" t="str">
        <f t="shared" si="3"/>
        <v>1.854271357</v>
      </c>
      <c r="BG24" t="str">
        <f t="shared" si="3"/>
        <v>0.251227832</v>
      </c>
      <c r="BH24" t="str">
        <f t="shared" si="3"/>
        <v>0.845322903</v>
      </c>
      <c r="BI24" t="str">
        <f t="shared" si="3"/>
        <v>70.79737096</v>
      </c>
      <c r="BJ24" t="str">
        <f t="shared" si="3"/>
        <v>4.027274337</v>
      </c>
    </row>
    <row r="25" spans="1:62" x14ac:dyDescent="0.25">
      <c r="A25" s="3" t="s">
        <v>135</v>
      </c>
      <c r="B25" t="s">
        <v>426</v>
      </c>
      <c r="C25" t="s">
        <v>15</v>
      </c>
      <c r="D25" t="s">
        <v>266</v>
      </c>
      <c r="E25">
        <v>24</v>
      </c>
      <c r="F25">
        <v>5.43296958</v>
      </c>
      <c r="G25">
        <v>19.735860089999999</v>
      </c>
      <c r="H25">
        <v>14.302890509999999</v>
      </c>
      <c r="I25">
        <v>283.50266570000002</v>
      </c>
      <c r="J25">
        <v>3020.9810499999999</v>
      </c>
      <c r="K25">
        <v>1316.4789149999999</v>
      </c>
      <c r="L25">
        <v>14.47864032</v>
      </c>
      <c r="M25">
        <v>283.50266570000002</v>
      </c>
      <c r="N25">
        <v>14.40842161</v>
      </c>
      <c r="O25">
        <v>296.30451429999999</v>
      </c>
      <c r="P25">
        <v>0.68183506999999999</v>
      </c>
      <c r="Q25">
        <v>0.97702451099999998</v>
      </c>
      <c r="R25">
        <v>0.39980441100000003</v>
      </c>
      <c r="S25">
        <v>1.226450482</v>
      </c>
      <c r="T25">
        <v>0.884256614</v>
      </c>
      <c r="U25">
        <v>1.08584711</v>
      </c>
      <c r="V25">
        <v>21.351717059999999</v>
      </c>
      <c r="W25">
        <v>24.021922279999998</v>
      </c>
      <c r="X25">
        <v>3.3575241720000002</v>
      </c>
      <c r="Y25">
        <v>19.993267450000001</v>
      </c>
      <c r="Z25">
        <v>26.016441709999999</v>
      </c>
      <c r="AA25">
        <v>0.52916097500000003</v>
      </c>
      <c r="AB25">
        <v>6.2490171390000002</v>
      </c>
      <c r="AC25">
        <v>1.7656979799999999</v>
      </c>
      <c r="AD25">
        <v>0.191141638</v>
      </c>
      <c r="AE25">
        <v>0.85543849299999997</v>
      </c>
      <c r="AF25">
        <v>70.690703369999994</v>
      </c>
      <c r="AG25">
        <v>4.0159391920000003</v>
      </c>
      <c r="AI25" t="str">
        <f t="shared" si="1"/>
        <v>5.43296958</v>
      </c>
      <c r="AJ25" t="str">
        <f t="shared" si="4"/>
        <v>19.73586009</v>
      </c>
      <c r="AK25" t="str">
        <f t="shared" si="4"/>
        <v>14.30289051</v>
      </c>
      <c r="AL25" t="str">
        <f t="shared" si="4"/>
        <v>283.5026657</v>
      </c>
      <c r="AM25" t="str">
        <f t="shared" si="4"/>
        <v>3020.98105</v>
      </c>
      <c r="AN25" t="str">
        <f t="shared" si="4"/>
        <v>1316.478915</v>
      </c>
      <c r="AO25" t="str">
        <f t="shared" si="4"/>
        <v>14.47864032</v>
      </c>
      <c r="AP25" t="str">
        <f t="shared" si="4"/>
        <v>283.5026657</v>
      </c>
      <c r="AQ25" t="str">
        <f t="shared" si="4"/>
        <v>14.40842161</v>
      </c>
      <c r="AR25" t="str">
        <f t="shared" si="4"/>
        <v>296.3045143</v>
      </c>
      <c r="AS25" t="str">
        <f t="shared" si="4"/>
        <v>0.68183507</v>
      </c>
      <c r="AT25" t="str">
        <f t="shared" si="4"/>
        <v>0.977024511</v>
      </c>
      <c r="AU25" t="str">
        <f t="shared" si="4"/>
        <v>0.399804411</v>
      </c>
      <c r="AV25" t="str">
        <f t="shared" si="4"/>
        <v>1.226450482</v>
      </c>
      <c r="AW25" t="str">
        <f t="shared" si="4"/>
        <v>0.884256614</v>
      </c>
      <c r="AX25" t="str">
        <f t="shared" si="4"/>
        <v>1.08584711</v>
      </c>
      <c r="AY25" t="str">
        <f t="shared" si="3"/>
        <v>21.35171706</v>
      </c>
      <c r="AZ25" t="str">
        <f t="shared" si="3"/>
        <v>24.02192228</v>
      </c>
      <c r="BA25" t="str">
        <f t="shared" si="3"/>
        <v>3.357524172</v>
      </c>
      <c r="BB25" t="str">
        <f t="shared" si="3"/>
        <v>19.99326745</v>
      </c>
      <c r="BC25" t="str">
        <f t="shared" si="3"/>
        <v>26.01644171</v>
      </c>
      <c r="BD25" t="str">
        <f t="shared" si="3"/>
        <v>0.529160975</v>
      </c>
      <c r="BE25" t="str">
        <f t="shared" si="3"/>
        <v>6.249017139</v>
      </c>
      <c r="BF25" t="str">
        <f t="shared" si="3"/>
        <v>1.76569798</v>
      </c>
      <c r="BG25" t="str">
        <f t="shared" si="3"/>
        <v>0.191141638</v>
      </c>
      <c r="BH25" t="str">
        <f t="shared" si="3"/>
        <v>0.855438493</v>
      </c>
      <c r="BI25" t="str">
        <f t="shared" si="3"/>
        <v>70.69070337</v>
      </c>
      <c r="BJ25" t="str">
        <f t="shared" si="3"/>
        <v>4.015939192</v>
      </c>
    </row>
    <row r="26" spans="1:62" x14ac:dyDescent="0.25">
      <c r="A26" s="3" t="s">
        <v>137</v>
      </c>
      <c r="B26" t="s">
        <v>427</v>
      </c>
      <c r="C26" t="s">
        <v>15</v>
      </c>
      <c r="D26" t="s">
        <v>267</v>
      </c>
      <c r="E26">
        <v>25</v>
      </c>
      <c r="F26">
        <v>5.43296958</v>
      </c>
      <c r="G26">
        <v>19.735860089999999</v>
      </c>
      <c r="H26">
        <v>14.302890509999999</v>
      </c>
      <c r="I26">
        <v>283.50266570000002</v>
      </c>
      <c r="J26">
        <v>3020.9810499999999</v>
      </c>
      <c r="K26">
        <v>1316.4789149999999</v>
      </c>
      <c r="L26">
        <v>14.47864032</v>
      </c>
      <c r="M26">
        <v>283.50266570000002</v>
      </c>
      <c r="N26">
        <v>14.40842161</v>
      </c>
      <c r="O26">
        <v>296.30451429999999</v>
      </c>
      <c r="P26">
        <v>0.68183506999999999</v>
      </c>
      <c r="Q26">
        <v>0.97702451099999998</v>
      </c>
      <c r="R26">
        <v>0.39980441100000003</v>
      </c>
      <c r="S26">
        <v>1.226450482</v>
      </c>
      <c r="T26">
        <v>0.884256614</v>
      </c>
      <c r="U26">
        <v>1.08584711</v>
      </c>
      <c r="V26">
        <v>21.351717059999999</v>
      </c>
      <c r="W26">
        <v>24.021922279999998</v>
      </c>
      <c r="X26">
        <v>3.3575241720000002</v>
      </c>
      <c r="Y26">
        <v>19.993267450000001</v>
      </c>
      <c r="Z26">
        <v>26.016441709999999</v>
      </c>
      <c r="AA26">
        <v>0.52916097500000003</v>
      </c>
      <c r="AB26">
        <v>6.2490171390000002</v>
      </c>
      <c r="AC26">
        <v>1.7656979799999999</v>
      </c>
      <c r="AD26">
        <v>0.191141638</v>
      </c>
      <c r="AE26">
        <v>0.85543849299999997</v>
      </c>
      <c r="AF26">
        <v>70.690703369999994</v>
      </c>
      <c r="AG26">
        <v>4.0159391920000003</v>
      </c>
      <c r="AI26" t="str">
        <f t="shared" si="1"/>
        <v>5.43296958</v>
      </c>
      <c r="AJ26" t="str">
        <f t="shared" si="4"/>
        <v>19.73586009</v>
      </c>
      <c r="AK26" t="str">
        <f t="shared" si="4"/>
        <v>14.30289051</v>
      </c>
      <c r="AL26" t="str">
        <f t="shared" si="4"/>
        <v>283.5026657</v>
      </c>
      <c r="AM26" t="str">
        <f t="shared" si="4"/>
        <v>3020.98105</v>
      </c>
      <c r="AN26" t="str">
        <f t="shared" si="4"/>
        <v>1316.478915</v>
      </c>
      <c r="AO26" t="str">
        <f t="shared" si="4"/>
        <v>14.47864032</v>
      </c>
      <c r="AP26" t="str">
        <f t="shared" si="4"/>
        <v>283.5026657</v>
      </c>
      <c r="AQ26" t="str">
        <f t="shared" si="4"/>
        <v>14.40842161</v>
      </c>
      <c r="AR26" t="str">
        <f t="shared" si="4"/>
        <v>296.3045143</v>
      </c>
      <c r="AS26" t="str">
        <f t="shared" si="4"/>
        <v>0.68183507</v>
      </c>
      <c r="AT26" t="str">
        <f t="shared" si="4"/>
        <v>0.977024511</v>
      </c>
      <c r="AU26" t="str">
        <f t="shared" si="4"/>
        <v>0.399804411</v>
      </c>
      <c r="AV26" t="str">
        <f t="shared" si="4"/>
        <v>1.226450482</v>
      </c>
      <c r="AW26" t="str">
        <f t="shared" si="4"/>
        <v>0.884256614</v>
      </c>
      <c r="AX26" t="str">
        <f t="shared" si="4"/>
        <v>1.08584711</v>
      </c>
      <c r="AY26" t="str">
        <f t="shared" ref="AY26:BJ41" si="5">IF(MID(V26,2,1)=",",_xlfn.TEXTJOIN(".",FALSE,MID(V26,1,1),MID(V26,3,LEN(V26)-2)),IF(MID(V26,3,1)=",",_xlfn.TEXTJOIN(".",FALSE,MID(V26,1,2),MID(V26,4,LEN(V26)-3)),IF(MID(V26,4,1)=",",_xlfn.TEXTJOIN(".",FALSE,MID(V26,1,3),MID(V26,5,LEN(V26)-4)),IF(MID(V26,5,1)=",",_xlfn.TEXTJOIN(".",FALSE,MID(V26,1,4),MID(V26,6,LEN(V26)-5)),V26))))</f>
        <v>21.35171706</v>
      </c>
      <c r="AZ26" t="str">
        <f t="shared" si="5"/>
        <v>24.02192228</v>
      </c>
      <c r="BA26" t="str">
        <f t="shared" si="5"/>
        <v>3.357524172</v>
      </c>
      <c r="BB26" t="str">
        <f t="shared" si="5"/>
        <v>19.99326745</v>
      </c>
      <c r="BC26" t="str">
        <f t="shared" si="5"/>
        <v>26.01644171</v>
      </c>
      <c r="BD26" t="str">
        <f t="shared" si="5"/>
        <v>0.529160975</v>
      </c>
      <c r="BE26" t="str">
        <f t="shared" si="5"/>
        <v>6.249017139</v>
      </c>
      <c r="BF26" t="str">
        <f t="shared" si="5"/>
        <v>1.76569798</v>
      </c>
      <c r="BG26" t="str">
        <f t="shared" si="5"/>
        <v>0.191141638</v>
      </c>
      <c r="BH26" t="str">
        <f t="shared" si="5"/>
        <v>0.855438493</v>
      </c>
      <c r="BI26" t="str">
        <f t="shared" si="5"/>
        <v>70.69070337</v>
      </c>
      <c r="BJ26" t="str">
        <f t="shared" si="5"/>
        <v>4.015939192</v>
      </c>
    </row>
    <row r="27" spans="1:62" x14ac:dyDescent="0.25">
      <c r="A27" s="3" t="s">
        <v>138</v>
      </c>
      <c r="B27" t="s">
        <v>428</v>
      </c>
      <c r="C27" t="s">
        <v>15</v>
      </c>
      <c r="D27" t="s">
        <v>268</v>
      </c>
      <c r="E27">
        <v>26</v>
      </c>
      <c r="F27">
        <v>5.43296958</v>
      </c>
      <c r="G27">
        <v>19.735860089999999</v>
      </c>
      <c r="H27">
        <v>14.302890509999999</v>
      </c>
      <c r="I27">
        <v>283.50266570000002</v>
      </c>
      <c r="J27">
        <v>3020.9810499999999</v>
      </c>
      <c r="K27">
        <v>1316.4789149999999</v>
      </c>
      <c r="L27">
        <v>14.47864032</v>
      </c>
      <c r="M27">
        <v>283.50266570000002</v>
      </c>
      <c r="N27">
        <v>14.40842161</v>
      </c>
      <c r="O27">
        <v>296.30451429999999</v>
      </c>
      <c r="P27">
        <v>0.68183506999999999</v>
      </c>
      <c r="Q27">
        <v>0.97702451099999998</v>
      </c>
      <c r="R27">
        <v>0.39980441100000003</v>
      </c>
      <c r="S27">
        <v>1.226450482</v>
      </c>
      <c r="T27">
        <v>0.884256614</v>
      </c>
      <c r="U27">
        <v>1.08584711</v>
      </c>
      <c r="V27">
        <v>21.351717059999999</v>
      </c>
      <c r="W27">
        <v>24.021922279999998</v>
      </c>
      <c r="X27">
        <v>3.3575241720000002</v>
      </c>
      <c r="Y27">
        <v>19.993267450000001</v>
      </c>
      <c r="Z27">
        <v>26.016441709999999</v>
      </c>
      <c r="AA27">
        <v>0.52916097500000003</v>
      </c>
      <c r="AB27">
        <v>6.2490171390000002</v>
      </c>
      <c r="AC27">
        <v>1.7656979799999999</v>
      </c>
      <c r="AD27">
        <v>0.191141638</v>
      </c>
      <c r="AE27">
        <v>0.85543849299999997</v>
      </c>
      <c r="AF27">
        <v>70.690703369999994</v>
      </c>
      <c r="AG27">
        <v>4.0159391920000003</v>
      </c>
      <c r="AI27" t="str">
        <f t="shared" si="1"/>
        <v>5.43296958</v>
      </c>
      <c r="AJ27" t="str">
        <f t="shared" ref="AJ27:AX42" si="6">IF(MID(G27,2,1)=",",_xlfn.TEXTJOIN(".",FALSE,MID(G27,1,1),MID(G27,3,LEN(G27)-2)),IF(MID(G27,3,1)=",",_xlfn.TEXTJOIN(".",FALSE,MID(G27,1,2),MID(G27,4,LEN(G27)-3)),IF(MID(G27,4,1)=",",_xlfn.TEXTJOIN(".",FALSE,MID(G27,1,3),MID(G27,5,LEN(G27)-4)),IF(MID(G27,5,1)=",",_xlfn.TEXTJOIN(".",FALSE,MID(G27,1,4),MID(G27,6,LEN(G27)-5)),G27))))</f>
        <v>19.73586009</v>
      </c>
      <c r="AK27" t="str">
        <f t="shared" si="6"/>
        <v>14.30289051</v>
      </c>
      <c r="AL27" t="str">
        <f t="shared" si="6"/>
        <v>283.5026657</v>
      </c>
      <c r="AM27" t="str">
        <f t="shared" si="6"/>
        <v>3020.98105</v>
      </c>
      <c r="AN27" t="str">
        <f t="shared" si="6"/>
        <v>1316.478915</v>
      </c>
      <c r="AO27" t="str">
        <f t="shared" si="6"/>
        <v>14.47864032</v>
      </c>
      <c r="AP27" t="str">
        <f t="shared" si="6"/>
        <v>283.5026657</v>
      </c>
      <c r="AQ27" t="str">
        <f t="shared" si="6"/>
        <v>14.40842161</v>
      </c>
      <c r="AR27" t="str">
        <f t="shared" si="6"/>
        <v>296.3045143</v>
      </c>
      <c r="AS27" t="str">
        <f t="shared" si="6"/>
        <v>0.68183507</v>
      </c>
      <c r="AT27" t="str">
        <f t="shared" si="6"/>
        <v>0.977024511</v>
      </c>
      <c r="AU27" t="str">
        <f t="shared" si="6"/>
        <v>0.399804411</v>
      </c>
      <c r="AV27" t="str">
        <f t="shared" si="6"/>
        <v>1.226450482</v>
      </c>
      <c r="AW27" t="str">
        <f t="shared" si="6"/>
        <v>0.884256614</v>
      </c>
      <c r="AX27" t="str">
        <f t="shared" si="6"/>
        <v>1.08584711</v>
      </c>
      <c r="AY27" t="str">
        <f t="shared" si="5"/>
        <v>21.35171706</v>
      </c>
      <c r="AZ27" t="str">
        <f t="shared" si="5"/>
        <v>24.02192228</v>
      </c>
      <c r="BA27" t="str">
        <f t="shared" si="5"/>
        <v>3.357524172</v>
      </c>
      <c r="BB27" t="str">
        <f t="shared" si="5"/>
        <v>19.99326745</v>
      </c>
      <c r="BC27" t="str">
        <f t="shared" si="5"/>
        <v>26.01644171</v>
      </c>
      <c r="BD27" t="str">
        <f t="shared" si="5"/>
        <v>0.529160975</v>
      </c>
      <c r="BE27" t="str">
        <f t="shared" si="5"/>
        <v>6.249017139</v>
      </c>
      <c r="BF27" t="str">
        <f t="shared" si="5"/>
        <v>1.76569798</v>
      </c>
      <c r="BG27" t="str">
        <f t="shared" si="5"/>
        <v>0.191141638</v>
      </c>
      <c r="BH27" t="str">
        <f t="shared" si="5"/>
        <v>0.855438493</v>
      </c>
      <c r="BI27" t="str">
        <f t="shared" si="5"/>
        <v>70.69070337</v>
      </c>
      <c r="BJ27" t="str">
        <f t="shared" si="5"/>
        <v>4.015939192</v>
      </c>
    </row>
    <row r="28" spans="1:62" x14ac:dyDescent="0.25">
      <c r="A28" s="3" t="s">
        <v>140</v>
      </c>
      <c r="B28" t="s">
        <v>429</v>
      </c>
      <c r="C28" t="s">
        <v>15</v>
      </c>
      <c r="D28" t="s">
        <v>269</v>
      </c>
      <c r="E28">
        <v>27</v>
      </c>
      <c r="F28">
        <v>5.43296958</v>
      </c>
      <c r="G28">
        <v>19.735860089999999</v>
      </c>
      <c r="H28">
        <v>14.302890509999999</v>
      </c>
      <c r="I28">
        <v>283.50266570000002</v>
      </c>
      <c r="J28">
        <v>3020.9810499999999</v>
      </c>
      <c r="K28">
        <v>1316.4789149999999</v>
      </c>
      <c r="L28">
        <v>14.47864032</v>
      </c>
      <c r="M28">
        <v>283.50266570000002</v>
      </c>
      <c r="N28">
        <v>14.40842161</v>
      </c>
      <c r="O28">
        <v>296.30451429999999</v>
      </c>
      <c r="P28">
        <v>0.68183506999999999</v>
      </c>
      <c r="Q28">
        <v>0.97702451099999998</v>
      </c>
      <c r="R28">
        <v>0.39980441100000003</v>
      </c>
      <c r="S28">
        <v>1.226450482</v>
      </c>
      <c r="T28">
        <v>0.884256614</v>
      </c>
      <c r="U28">
        <v>1.08584711</v>
      </c>
      <c r="V28">
        <v>21.351717059999999</v>
      </c>
      <c r="W28">
        <v>24.021922279999998</v>
      </c>
      <c r="X28">
        <v>3.3575241720000002</v>
      </c>
      <c r="Y28">
        <v>19.993267450000001</v>
      </c>
      <c r="Z28">
        <v>26.016441709999999</v>
      </c>
      <c r="AA28">
        <v>0.52916097500000003</v>
      </c>
      <c r="AB28">
        <v>6.2490171390000002</v>
      </c>
      <c r="AC28">
        <v>1.7656979799999999</v>
      </c>
      <c r="AD28">
        <v>0.191141638</v>
      </c>
      <c r="AE28">
        <v>0.85543849299999997</v>
      </c>
      <c r="AF28">
        <v>70.690703369999994</v>
      </c>
      <c r="AG28">
        <v>4.0159391920000003</v>
      </c>
      <c r="AI28" t="str">
        <f t="shared" si="1"/>
        <v>5.43296958</v>
      </c>
      <c r="AJ28" t="str">
        <f t="shared" si="6"/>
        <v>19.73586009</v>
      </c>
      <c r="AK28" t="str">
        <f t="shared" si="6"/>
        <v>14.30289051</v>
      </c>
      <c r="AL28" t="str">
        <f t="shared" si="6"/>
        <v>283.5026657</v>
      </c>
      <c r="AM28" t="str">
        <f t="shared" si="6"/>
        <v>3020.98105</v>
      </c>
      <c r="AN28" t="str">
        <f t="shared" si="6"/>
        <v>1316.478915</v>
      </c>
      <c r="AO28" t="str">
        <f t="shared" si="6"/>
        <v>14.47864032</v>
      </c>
      <c r="AP28" t="str">
        <f t="shared" si="6"/>
        <v>283.5026657</v>
      </c>
      <c r="AQ28" t="str">
        <f t="shared" si="6"/>
        <v>14.40842161</v>
      </c>
      <c r="AR28" t="str">
        <f t="shared" si="6"/>
        <v>296.3045143</v>
      </c>
      <c r="AS28" t="str">
        <f t="shared" si="6"/>
        <v>0.68183507</v>
      </c>
      <c r="AT28" t="str">
        <f t="shared" si="6"/>
        <v>0.977024511</v>
      </c>
      <c r="AU28" t="str">
        <f t="shared" si="6"/>
        <v>0.399804411</v>
      </c>
      <c r="AV28" t="str">
        <f t="shared" si="6"/>
        <v>1.226450482</v>
      </c>
      <c r="AW28" t="str">
        <f t="shared" si="6"/>
        <v>0.884256614</v>
      </c>
      <c r="AX28" t="str">
        <f t="shared" si="6"/>
        <v>1.08584711</v>
      </c>
      <c r="AY28" t="str">
        <f t="shared" si="5"/>
        <v>21.35171706</v>
      </c>
      <c r="AZ28" t="str">
        <f t="shared" si="5"/>
        <v>24.02192228</v>
      </c>
      <c r="BA28" t="str">
        <f t="shared" si="5"/>
        <v>3.357524172</v>
      </c>
      <c r="BB28" t="str">
        <f t="shared" si="5"/>
        <v>19.99326745</v>
      </c>
      <c r="BC28" t="str">
        <f t="shared" si="5"/>
        <v>26.01644171</v>
      </c>
      <c r="BD28" t="str">
        <f t="shared" si="5"/>
        <v>0.529160975</v>
      </c>
      <c r="BE28" t="str">
        <f t="shared" si="5"/>
        <v>6.249017139</v>
      </c>
      <c r="BF28" t="str">
        <f t="shared" si="5"/>
        <v>1.76569798</v>
      </c>
      <c r="BG28" t="str">
        <f t="shared" si="5"/>
        <v>0.191141638</v>
      </c>
      <c r="BH28" t="str">
        <f t="shared" si="5"/>
        <v>0.855438493</v>
      </c>
      <c r="BI28" t="str">
        <f t="shared" si="5"/>
        <v>70.69070337</v>
      </c>
      <c r="BJ28" t="str">
        <f t="shared" si="5"/>
        <v>4.015939192</v>
      </c>
    </row>
    <row r="29" spans="1:62" x14ac:dyDescent="0.25">
      <c r="A29" s="3" t="s">
        <v>142</v>
      </c>
      <c r="B29" t="s">
        <v>430</v>
      </c>
      <c r="C29" t="s">
        <v>15</v>
      </c>
      <c r="D29" t="s">
        <v>270</v>
      </c>
      <c r="E29">
        <v>28</v>
      </c>
      <c r="F29">
        <v>5.43296958</v>
      </c>
      <c r="G29">
        <v>19.735860089999999</v>
      </c>
      <c r="H29">
        <v>14.302890509999999</v>
      </c>
      <c r="I29">
        <v>283.50266570000002</v>
      </c>
      <c r="J29">
        <v>3020.9810499999999</v>
      </c>
      <c r="K29">
        <v>1316.4789149999999</v>
      </c>
      <c r="L29">
        <v>14.47864032</v>
      </c>
      <c r="M29">
        <v>283.50266570000002</v>
      </c>
      <c r="N29">
        <v>14.40842161</v>
      </c>
      <c r="O29">
        <v>296.30451429999999</v>
      </c>
      <c r="P29">
        <v>0.68183506999999999</v>
      </c>
      <c r="Q29">
        <v>0.97702451099999998</v>
      </c>
      <c r="R29">
        <v>0.39980441100000003</v>
      </c>
      <c r="S29">
        <v>1.226450482</v>
      </c>
      <c r="T29">
        <v>0.884256614</v>
      </c>
      <c r="U29">
        <v>1.08584711</v>
      </c>
      <c r="V29">
        <v>21.351717059999999</v>
      </c>
      <c r="W29">
        <v>24.021922279999998</v>
      </c>
      <c r="X29">
        <v>3.3575241720000002</v>
      </c>
      <c r="Y29">
        <v>19.993267450000001</v>
      </c>
      <c r="Z29">
        <v>26.016441709999999</v>
      </c>
      <c r="AA29">
        <v>0.52916097500000003</v>
      </c>
      <c r="AB29">
        <v>6.2490171390000002</v>
      </c>
      <c r="AC29">
        <v>1.7656979799999999</v>
      </c>
      <c r="AD29">
        <v>0.191141638</v>
      </c>
      <c r="AE29">
        <v>0.85543849299999997</v>
      </c>
      <c r="AF29">
        <v>70.690703369999994</v>
      </c>
      <c r="AG29">
        <v>4.0159391920000003</v>
      </c>
      <c r="AI29" t="str">
        <f t="shared" si="1"/>
        <v>5.43296958</v>
      </c>
      <c r="AJ29" t="str">
        <f t="shared" si="6"/>
        <v>19.73586009</v>
      </c>
      <c r="AK29" t="str">
        <f t="shared" si="6"/>
        <v>14.30289051</v>
      </c>
      <c r="AL29" t="str">
        <f t="shared" si="6"/>
        <v>283.5026657</v>
      </c>
      <c r="AM29" t="str">
        <f t="shared" si="6"/>
        <v>3020.98105</v>
      </c>
      <c r="AN29" t="str">
        <f t="shared" si="6"/>
        <v>1316.478915</v>
      </c>
      <c r="AO29" t="str">
        <f t="shared" si="6"/>
        <v>14.47864032</v>
      </c>
      <c r="AP29" t="str">
        <f t="shared" si="6"/>
        <v>283.5026657</v>
      </c>
      <c r="AQ29" t="str">
        <f t="shared" si="6"/>
        <v>14.40842161</v>
      </c>
      <c r="AR29" t="str">
        <f t="shared" si="6"/>
        <v>296.3045143</v>
      </c>
      <c r="AS29" t="str">
        <f t="shared" si="6"/>
        <v>0.68183507</v>
      </c>
      <c r="AT29" t="str">
        <f t="shared" si="6"/>
        <v>0.977024511</v>
      </c>
      <c r="AU29" t="str">
        <f t="shared" si="6"/>
        <v>0.399804411</v>
      </c>
      <c r="AV29" t="str">
        <f t="shared" si="6"/>
        <v>1.226450482</v>
      </c>
      <c r="AW29" t="str">
        <f t="shared" si="6"/>
        <v>0.884256614</v>
      </c>
      <c r="AX29" t="str">
        <f t="shared" si="6"/>
        <v>1.08584711</v>
      </c>
      <c r="AY29" t="str">
        <f t="shared" si="5"/>
        <v>21.35171706</v>
      </c>
      <c r="AZ29" t="str">
        <f t="shared" si="5"/>
        <v>24.02192228</v>
      </c>
      <c r="BA29" t="str">
        <f t="shared" si="5"/>
        <v>3.357524172</v>
      </c>
      <c r="BB29" t="str">
        <f t="shared" si="5"/>
        <v>19.99326745</v>
      </c>
      <c r="BC29" t="str">
        <f t="shared" si="5"/>
        <v>26.01644171</v>
      </c>
      <c r="BD29" t="str">
        <f t="shared" si="5"/>
        <v>0.529160975</v>
      </c>
      <c r="BE29" t="str">
        <f t="shared" si="5"/>
        <v>6.249017139</v>
      </c>
      <c r="BF29" t="str">
        <f t="shared" si="5"/>
        <v>1.76569798</v>
      </c>
      <c r="BG29" t="str">
        <f t="shared" si="5"/>
        <v>0.191141638</v>
      </c>
      <c r="BH29" t="str">
        <f t="shared" si="5"/>
        <v>0.855438493</v>
      </c>
      <c r="BI29" t="str">
        <f t="shared" si="5"/>
        <v>70.69070337</v>
      </c>
      <c r="BJ29" t="str">
        <f t="shared" si="5"/>
        <v>4.015939192</v>
      </c>
    </row>
    <row r="30" spans="1:62" x14ac:dyDescent="0.25">
      <c r="A30" s="3" t="s">
        <v>147</v>
      </c>
      <c r="B30" t="s">
        <v>431</v>
      </c>
      <c r="C30" t="s">
        <v>245</v>
      </c>
      <c r="D30" s="26"/>
      <c r="E30">
        <v>29</v>
      </c>
      <c r="F30">
        <v>7.3427611969999997</v>
      </c>
      <c r="G30">
        <v>17.451868099999999</v>
      </c>
      <c r="H30">
        <v>10.1091069</v>
      </c>
      <c r="I30">
        <v>238.93589879999999</v>
      </c>
      <c r="J30">
        <v>2225.160061</v>
      </c>
      <c r="K30">
        <v>249.8985802</v>
      </c>
      <c r="L30">
        <v>11.58133432</v>
      </c>
      <c r="M30">
        <v>238.93589879999999</v>
      </c>
      <c r="N30">
        <v>11.58133432</v>
      </c>
      <c r="O30">
        <v>242.46987949999999</v>
      </c>
      <c r="P30">
        <v>0.69016064300000002</v>
      </c>
      <c r="Q30">
        <v>0.974026104</v>
      </c>
      <c r="R30">
        <v>0.56907012099999998</v>
      </c>
      <c r="S30">
        <v>1.532279116</v>
      </c>
      <c r="T30">
        <v>0.95247941199999997</v>
      </c>
      <c r="U30">
        <v>1.072768393</v>
      </c>
      <c r="V30">
        <v>20.965863450000001</v>
      </c>
      <c r="W30">
        <v>24.00803213</v>
      </c>
      <c r="X30">
        <v>3.987951807</v>
      </c>
      <c r="Y30">
        <v>19.989959840000001</v>
      </c>
      <c r="Z30">
        <v>26.00803213</v>
      </c>
      <c r="AA30">
        <v>0.60441767099999999</v>
      </c>
      <c r="AB30">
        <v>7.7377008030000001</v>
      </c>
      <c r="AC30">
        <v>1.838855422</v>
      </c>
      <c r="AD30">
        <v>0.228410376</v>
      </c>
      <c r="AE30">
        <v>0.92148556800000003</v>
      </c>
      <c r="AF30">
        <v>67.358465809999998</v>
      </c>
      <c r="AG30">
        <v>5.577638801</v>
      </c>
      <c r="AI30" t="str">
        <f t="shared" si="1"/>
        <v>7.342761197</v>
      </c>
      <c r="AJ30" t="str">
        <f t="shared" si="6"/>
        <v>17.4518681</v>
      </c>
      <c r="AK30" t="str">
        <f t="shared" si="6"/>
        <v>10.1091069</v>
      </c>
      <c r="AL30" t="str">
        <f t="shared" si="6"/>
        <v>238.9358988</v>
      </c>
      <c r="AM30" t="str">
        <f t="shared" si="6"/>
        <v>2225.160061</v>
      </c>
      <c r="AN30" t="str">
        <f t="shared" si="6"/>
        <v>249.8985802</v>
      </c>
      <c r="AO30" t="str">
        <f t="shared" si="6"/>
        <v>11.58133432</v>
      </c>
      <c r="AP30" t="str">
        <f t="shared" si="6"/>
        <v>238.9358988</v>
      </c>
      <c r="AQ30" t="str">
        <f t="shared" si="6"/>
        <v>11.58133432</v>
      </c>
      <c r="AR30" t="str">
        <f t="shared" si="6"/>
        <v>242.4698795</v>
      </c>
      <c r="AS30" t="str">
        <f t="shared" si="6"/>
        <v>0.690160643</v>
      </c>
      <c r="AT30" t="str">
        <f t="shared" si="6"/>
        <v>0.974026104</v>
      </c>
      <c r="AU30" t="str">
        <f t="shared" si="6"/>
        <v>0.569070121</v>
      </c>
      <c r="AV30" t="str">
        <f t="shared" si="6"/>
        <v>1.532279116</v>
      </c>
      <c r="AW30" t="str">
        <f t="shared" si="6"/>
        <v>0.952479412</v>
      </c>
      <c r="AX30" t="str">
        <f t="shared" si="6"/>
        <v>1.072768393</v>
      </c>
      <c r="AY30" t="str">
        <f t="shared" si="5"/>
        <v>20.96586345</v>
      </c>
      <c r="AZ30" t="str">
        <f t="shared" si="5"/>
        <v>24.00803213</v>
      </c>
      <c r="BA30" t="str">
        <f t="shared" si="5"/>
        <v>3.987951807</v>
      </c>
      <c r="BB30" t="str">
        <f t="shared" si="5"/>
        <v>19.98995984</v>
      </c>
      <c r="BC30" t="str">
        <f t="shared" si="5"/>
        <v>26.00803213</v>
      </c>
      <c r="BD30" t="str">
        <f t="shared" si="5"/>
        <v>0.604417671</v>
      </c>
      <c r="BE30" t="str">
        <f t="shared" si="5"/>
        <v>7.737700803</v>
      </c>
      <c r="BF30" t="str">
        <f t="shared" si="5"/>
        <v>1.838855422</v>
      </c>
      <c r="BG30" t="str">
        <f t="shared" si="5"/>
        <v>0.228410376</v>
      </c>
      <c r="BH30" t="str">
        <f t="shared" si="5"/>
        <v>0.921485568</v>
      </c>
      <c r="BI30" t="str">
        <f t="shared" si="5"/>
        <v>67.35846581</v>
      </c>
      <c r="BJ30" t="str">
        <f t="shared" si="5"/>
        <v>5.577638801</v>
      </c>
    </row>
    <row r="31" spans="1:62" x14ac:dyDescent="0.25">
      <c r="A31" s="3" t="s">
        <v>148</v>
      </c>
      <c r="B31" t="s">
        <v>432</v>
      </c>
      <c r="C31" t="s">
        <v>245</v>
      </c>
      <c r="D31" t="s">
        <v>271</v>
      </c>
      <c r="E31">
        <v>30</v>
      </c>
      <c r="F31">
        <v>7.3024502020000002</v>
      </c>
      <c r="G31">
        <v>17.455840380000001</v>
      </c>
      <c r="H31">
        <v>10.153390180000001</v>
      </c>
      <c r="I31">
        <v>238.39345119999999</v>
      </c>
      <c r="J31">
        <v>2224.662006</v>
      </c>
      <c r="K31">
        <v>267.66181289999997</v>
      </c>
      <c r="L31">
        <v>11.52868453</v>
      </c>
      <c r="M31">
        <v>238.39345119999999</v>
      </c>
      <c r="N31">
        <v>11.51960862</v>
      </c>
      <c r="O31">
        <v>240.4779461</v>
      </c>
      <c r="P31">
        <v>0.67934747500000003</v>
      </c>
      <c r="Q31">
        <v>0.97522478099999999</v>
      </c>
      <c r="R31">
        <v>0.56014786599999999</v>
      </c>
      <c r="S31">
        <v>1.5467117850000001</v>
      </c>
      <c r="T31">
        <v>0.952377001</v>
      </c>
      <c r="U31">
        <v>1.080672498</v>
      </c>
      <c r="V31">
        <v>20.96014478</v>
      </c>
      <c r="W31">
        <v>24.003016840000001</v>
      </c>
      <c r="X31">
        <v>3.9860336699999999</v>
      </c>
      <c r="Y31">
        <v>19.99622896</v>
      </c>
      <c r="Z31">
        <v>26.003016840000001</v>
      </c>
      <c r="AA31">
        <v>0.60316161599999996</v>
      </c>
      <c r="AB31">
        <v>7.3468538719999996</v>
      </c>
      <c r="AC31">
        <v>1.779342593</v>
      </c>
      <c r="AD31">
        <v>0.215820125</v>
      </c>
      <c r="AE31">
        <v>0.927771927</v>
      </c>
      <c r="AF31">
        <v>67.513263769999995</v>
      </c>
      <c r="AG31">
        <v>4.915781526</v>
      </c>
      <c r="AI31" t="str">
        <f t="shared" si="1"/>
        <v>7.302450202</v>
      </c>
      <c r="AJ31" t="str">
        <f t="shared" si="6"/>
        <v>17.45584038</v>
      </c>
      <c r="AK31" t="str">
        <f t="shared" si="6"/>
        <v>10.15339018</v>
      </c>
      <c r="AL31" t="str">
        <f t="shared" si="6"/>
        <v>238.3934512</v>
      </c>
      <c r="AM31" t="str">
        <f t="shared" si="6"/>
        <v>2224.662006</v>
      </c>
      <c r="AN31" t="str">
        <f t="shared" si="6"/>
        <v>267.6618129</v>
      </c>
      <c r="AO31" t="str">
        <f t="shared" si="6"/>
        <v>11.52868453</v>
      </c>
      <c r="AP31" t="str">
        <f t="shared" si="6"/>
        <v>238.3934512</v>
      </c>
      <c r="AQ31" t="str">
        <f t="shared" si="6"/>
        <v>11.51960862</v>
      </c>
      <c r="AR31" t="str">
        <f t="shared" si="6"/>
        <v>240.4779461</v>
      </c>
      <c r="AS31" t="str">
        <f t="shared" si="6"/>
        <v>0.679347475</v>
      </c>
      <c r="AT31" t="str">
        <f t="shared" si="6"/>
        <v>0.975224781</v>
      </c>
      <c r="AU31" t="str">
        <f t="shared" si="6"/>
        <v>0.560147866</v>
      </c>
      <c r="AV31" t="str">
        <f t="shared" si="6"/>
        <v>1.546711785</v>
      </c>
      <c r="AW31" t="str">
        <f t="shared" si="6"/>
        <v>0.952377001</v>
      </c>
      <c r="AX31" t="str">
        <f t="shared" si="6"/>
        <v>1.080672498</v>
      </c>
      <c r="AY31" t="str">
        <f t="shared" si="5"/>
        <v>20.96014478</v>
      </c>
      <c r="AZ31" t="str">
        <f t="shared" si="5"/>
        <v>24.00301684</v>
      </c>
      <c r="BA31" t="str">
        <f t="shared" si="5"/>
        <v>3.98603367</v>
      </c>
      <c r="BB31" t="str">
        <f t="shared" si="5"/>
        <v>19.99622896</v>
      </c>
      <c r="BC31" t="str">
        <f t="shared" si="5"/>
        <v>26.00301684</v>
      </c>
      <c r="BD31" t="str">
        <f t="shared" si="5"/>
        <v>0.603161616</v>
      </c>
      <c r="BE31" t="str">
        <f t="shared" si="5"/>
        <v>7.346853872</v>
      </c>
      <c r="BF31" t="str">
        <f t="shared" si="5"/>
        <v>1.779342593</v>
      </c>
      <c r="BG31" t="str">
        <f t="shared" si="5"/>
        <v>0.215820125</v>
      </c>
      <c r="BH31" t="str">
        <f t="shared" si="5"/>
        <v>0.927771927</v>
      </c>
      <c r="BI31" t="str">
        <f t="shared" si="5"/>
        <v>67.51326377</v>
      </c>
      <c r="BJ31" t="str">
        <f t="shared" si="5"/>
        <v>4.915781526</v>
      </c>
    </row>
    <row r="32" spans="1:62" x14ac:dyDescent="0.25">
      <c r="A32" s="3" t="s">
        <v>149</v>
      </c>
      <c r="B32" t="s">
        <v>433</v>
      </c>
      <c r="C32" t="s">
        <v>245</v>
      </c>
      <c r="D32" t="s">
        <v>272</v>
      </c>
      <c r="E32">
        <v>31</v>
      </c>
      <c r="F32">
        <v>7.2912226200000001</v>
      </c>
      <c r="G32">
        <v>18.729147820000001</v>
      </c>
      <c r="H32">
        <v>11.4379252</v>
      </c>
      <c r="I32">
        <v>245.80616620000001</v>
      </c>
      <c r="J32">
        <v>2390.1504970000001</v>
      </c>
      <c r="K32">
        <v>484.33158989999998</v>
      </c>
      <c r="L32">
        <v>12.69225425</v>
      </c>
      <c r="M32">
        <v>245.80616620000001</v>
      </c>
      <c r="N32">
        <v>12.69225425</v>
      </c>
      <c r="O32">
        <v>213.6</v>
      </c>
      <c r="P32">
        <v>0.82320000000000004</v>
      </c>
      <c r="Q32">
        <v>0.98397999999999997</v>
      </c>
      <c r="R32">
        <v>0.60649455299999999</v>
      </c>
      <c r="S32">
        <v>1.6731499999999999</v>
      </c>
      <c r="T32">
        <v>0.96997325899999998</v>
      </c>
      <c r="U32">
        <v>1.020547407</v>
      </c>
      <c r="V32">
        <v>20.713999999999999</v>
      </c>
      <c r="W32">
        <v>24</v>
      </c>
      <c r="X32">
        <v>4</v>
      </c>
      <c r="Y32">
        <v>19.992000000000001</v>
      </c>
      <c r="Z32">
        <v>26</v>
      </c>
      <c r="AA32">
        <v>0.379</v>
      </c>
      <c r="AB32">
        <v>5.4001000000000001</v>
      </c>
      <c r="AC32">
        <v>1.3487499999999999</v>
      </c>
      <c r="AD32">
        <v>0.22707342</v>
      </c>
      <c r="AE32">
        <v>0.94590034999999995</v>
      </c>
      <c r="AF32">
        <v>76.152599109999997</v>
      </c>
      <c r="AG32">
        <v>4.6676421670000003</v>
      </c>
      <c r="AI32" t="str">
        <f t="shared" si="1"/>
        <v>7.29122262</v>
      </c>
      <c r="AJ32" t="str">
        <f t="shared" si="6"/>
        <v>18.72914782</v>
      </c>
      <c r="AK32" t="str">
        <f t="shared" si="6"/>
        <v>11.4379252</v>
      </c>
      <c r="AL32" t="str">
        <f t="shared" si="6"/>
        <v>245.8061662</v>
      </c>
      <c r="AM32" t="str">
        <f t="shared" si="6"/>
        <v>2390.150497</v>
      </c>
      <c r="AN32" t="str">
        <f t="shared" si="6"/>
        <v>484.3315899</v>
      </c>
      <c r="AO32" t="str">
        <f t="shared" si="6"/>
        <v>12.69225425</v>
      </c>
      <c r="AP32" t="str">
        <f t="shared" si="6"/>
        <v>245.8061662</v>
      </c>
      <c r="AQ32" t="str">
        <f t="shared" si="6"/>
        <v>12.69225425</v>
      </c>
      <c r="AR32" t="str">
        <f t="shared" si="6"/>
        <v>213.6</v>
      </c>
      <c r="AS32" t="str">
        <f t="shared" si="6"/>
        <v>0.8232</v>
      </c>
      <c r="AT32" t="str">
        <f t="shared" si="6"/>
        <v>0.98398</v>
      </c>
      <c r="AU32" t="str">
        <f t="shared" si="6"/>
        <v>0.606494553</v>
      </c>
      <c r="AV32" t="str">
        <f t="shared" si="6"/>
        <v>1.67315</v>
      </c>
      <c r="AW32" t="str">
        <f t="shared" si="6"/>
        <v>0.969973259</v>
      </c>
      <c r="AX32" t="str">
        <f t="shared" si="6"/>
        <v>1.020547407</v>
      </c>
      <c r="AY32" t="str">
        <f t="shared" si="5"/>
        <v>20.714</v>
      </c>
      <c r="AZ32">
        <f t="shared" si="5"/>
        <v>24</v>
      </c>
      <c r="BA32">
        <f t="shared" si="5"/>
        <v>4</v>
      </c>
      <c r="BB32" t="str">
        <f t="shared" si="5"/>
        <v>19.992</v>
      </c>
      <c r="BC32">
        <f t="shared" si="5"/>
        <v>26</v>
      </c>
      <c r="BD32" t="str">
        <f t="shared" si="5"/>
        <v>0.379</v>
      </c>
      <c r="BE32" t="str">
        <f t="shared" si="5"/>
        <v>5.4001</v>
      </c>
      <c r="BF32" t="str">
        <f t="shared" si="5"/>
        <v>1.34875</v>
      </c>
      <c r="BG32" t="str">
        <f t="shared" si="5"/>
        <v>0.22707342</v>
      </c>
      <c r="BH32" t="str">
        <f t="shared" si="5"/>
        <v>0.94590035</v>
      </c>
      <c r="BI32" t="str">
        <f t="shared" si="5"/>
        <v>76.15259911</v>
      </c>
      <c r="BJ32" t="str">
        <f t="shared" si="5"/>
        <v>4.667642167</v>
      </c>
    </row>
    <row r="33" spans="1:62" x14ac:dyDescent="0.25">
      <c r="A33" s="3" t="s">
        <v>150</v>
      </c>
      <c r="B33" t="s">
        <v>434</v>
      </c>
      <c r="C33" t="s">
        <v>245</v>
      </c>
      <c r="D33" t="s">
        <v>273</v>
      </c>
      <c r="E33">
        <v>32</v>
      </c>
      <c r="F33">
        <v>7.3024502020000002</v>
      </c>
      <c r="G33">
        <v>17.455840380000001</v>
      </c>
      <c r="H33">
        <v>10.153390180000001</v>
      </c>
      <c r="I33">
        <v>238.39345119999999</v>
      </c>
      <c r="J33">
        <v>2224.662006</v>
      </c>
      <c r="K33">
        <v>267.66181289999997</v>
      </c>
      <c r="L33">
        <v>11.52868453</v>
      </c>
      <c r="M33">
        <v>238.39345119999999</v>
      </c>
      <c r="N33">
        <v>11.51960862</v>
      </c>
      <c r="O33">
        <v>240.4779461</v>
      </c>
      <c r="P33">
        <v>0.67934747500000003</v>
      </c>
      <c r="Q33">
        <v>0.97522478099999999</v>
      </c>
      <c r="R33">
        <v>0.56014786599999999</v>
      </c>
      <c r="S33">
        <v>1.5467117850000001</v>
      </c>
      <c r="T33">
        <v>0.952377001</v>
      </c>
      <c r="U33">
        <v>1.080672498</v>
      </c>
      <c r="V33">
        <v>20.96014478</v>
      </c>
      <c r="W33">
        <v>24.003016840000001</v>
      </c>
      <c r="X33">
        <v>3.9860336699999999</v>
      </c>
      <c r="Y33">
        <v>19.99622896</v>
      </c>
      <c r="Z33">
        <v>26.003016840000001</v>
      </c>
      <c r="AA33">
        <v>0.60316161599999996</v>
      </c>
      <c r="AB33">
        <v>7.3468538719999996</v>
      </c>
      <c r="AC33">
        <v>1.779342593</v>
      </c>
      <c r="AD33">
        <v>0.215820125</v>
      </c>
      <c r="AE33">
        <v>0.927771927</v>
      </c>
      <c r="AF33">
        <v>67.513263769999995</v>
      </c>
      <c r="AG33">
        <v>4.915781526</v>
      </c>
      <c r="AI33" t="str">
        <f t="shared" si="1"/>
        <v>7.302450202</v>
      </c>
      <c r="AJ33" t="str">
        <f t="shared" si="6"/>
        <v>17.45584038</v>
      </c>
      <c r="AK33" t="str">
        <f t="shared" si="6"/>
        <v>10.15339018</v>
      </c>
      <c r="AL33" t="str">
        <f t="shared" si="6"/>
        <v>238.3934512</v>
      </c>
      <c r="AM33" t="str">
        <f t="shared" si="6"/>
        <v>2224.662006</v>
      </c>
      <c r="AN33" t="str">
        <f t="shared" si="6"/>
        <v>267.6618129</v>
      </c>
      <c r="AO33" t="str">
        <f t="shared" si="6"/>
        <v>11.52868453</v>
      </c>
      <c r="AP33" t="str">
        <f t="shared" si="6"/>
        <v>238.3934512</v>
      </c>
      <c r="AQ33" t="str">
        <f t="shared" si="6"/>
        <v>11.51960862</v>
      </c>
      <c r="AR33" t="str">
        <f t="shared" si="6"/>
        <v>240.4779461</v>
      </c>
      <c r="AS33" t="str">
        <f t="shared" si="6"/>
        <v>0.679347475</v>
      </c>
      <c r="AT33" t="str">
        <f t="shared" si="6"/>
        <v>0.975224781</v>
      </c>
      <c r="AU33" t="str">
        <f t="shared" si="6"/>
        <v>0.560147866</v>
      </c>
      <c r="AV33" t="str">
        <f t="shared" si="6"/>
        <v>1.546711785</v>
      </c>
      <c r="AW33" t="str">
        <f t="shared" si="6"/>
        <v>0.952377001</v>
      </c>
      <c r="AX33" t="str">
        <f t="shared" si="6"/>
        <v>1.080672498</v>
      </c>
      <c r="AY33" t="str">
        <f t="shared" si="5"/>
        <v>20.96014478</v>
      </c>
      <c r="AZ33" t="str">
        <f t="shared" si="5"/>
        <v>24.00301684</v>
      </c>
      <c r="BA33" t="str">
        <f t="shared" si="5"/>
        <v>3.98603367</v>
      </c>
      <c r="BB33" t="str">
        <f t="shared" si="5"/>
        <v>19.99622896</v>
      </c>
      <c r="BC33" t="str">
        <f t="shared" si="5"/>
        <v>26.00301684</v>
      </c>
      <c r="BD33" t="str">
        <f t="shared" si="5"/>
        <v>0.603161616</v>
      </c>
      <c r="BE33" t="str">
        <f t="shared" si="5"/>
        <v>7.346853872</v>
      </c>
      <c r="BF33" t="str">
        <f t="shared" si="5"/>
        <v>1.779342593</v>
      </c>
      <c r="BG33" t="str">
        <f t="shared" si="5"/>
        <v>0.215820125</v>
      </c>
      <c r="BH33" t="str">
        <f t="shared" si="5"/>
        <v>0.927771927</v>
      </c>
      <c r="BI33" t="str">
        <f t="shared" si="5"/>
        <v>67.51326377</v>
      </c>
      <c r="BJ33" t="str">
        <f t="shared" si="5"/>
        <v>4.915781526</v>
      </c>
    </row>
    <row r="34" spans="1:62" x14ac:dyDescent="0.25">
      <c r="A34" s="3" t="s">
        <v>159</v>
      </c>
      <c r="B34" t="s">
        <v>435</v>
      </c>
      <c r="C34" t="s">
        <v>245</v>
      </c>
      <c r="D34" t="s">
        <v>274</v>
      </c>
      <c r="E34">
        <v>33</v>
      </c>
      <c r="F34">
        <v>7.3024502020000002</v>
      </c>
      <c r="G34">
        <v>17.455840380000001</v>
      </c>
      <c r="H34">
        <v>10.153390180000001</v>
      </c>
      <c r="I34">
        <v>238.39345119999999</v>
      </c>
      <c r="J34">
        <v>2224.662006</v>
      </c>
      <c r="K34">
        <v>267.66181289999997</v>
      </c>
      <c r="L34">
        <v>11.52868453</v>
      </c>
      <c r="M34">
        <v>238.39345119999999</v>
      </c>
      <c r="N34">
        <v>11.51960862</v>
      </c>
      <c r="O34">
        <v>240.4779461</v>
      </c>
      <c r="P34">
        <v>0.67934747500000003</v>
      </c>
      <c r="Q34">
        <v>0.97522478099999999</v>
      </c>
      <c r="R34">
        <v>0.56014786599999999</v>
      </c>
      <c r="S34">
        <v>1.5467117850000001</v>
      </c>
      <c r="T34">
        <v>0.952377001</v>
      </c>
      <c r="U34">
        <v>1.080672498</v>
      </c>
      <c r="V34">
        <v>20.96014478</v>
      </c>
      <c r="W34">
        <v>24.003016840000001</v>
      </c>
      <c r="X34">
        <v>3.9860336699999999</v>
      </c>
      <c r="Y34">
        <v>19.99622896</v>
      </c>
      <c r="Z34">
        <v>26.003016840000001</v>
      </c>
      <c r="AA34">
        <v>0.60316161599999996</v>
      </c>
      <c r="AB34">
        <v>7.3468538719999996</v>
      </c>
      <c r="AC34">
        <v>1.779342593</v>
      </c>
      <c r="AD34">
        <v>0.215820125</v>
      </c>
      <c r="AE34">
        <v>0.927771927</v>
      </c>
      <c r="AF34">
        <v>67.513263769999995</v>
      </c>
      <c r="AG34">
        <v>4.915781526</v>
      </c>
      <c r="AI34" t="str">
        <f t="shared" ref="AI34:AI65" si="7">IF(MID(F34,2,1)=",",_xlfn.TEXTJOIN(".",FALSE,MID(F34,1,1),MID(F34,3,LEN(F34)-2)),IF(MID(F34,3,1)=",",_xlfn.TEXTJOIN(".",FALSE,MID(F34,1,2),MID(F34,4,LEN(F34)-3)),IF(MID(F34,4,1)=",",_xlfn.TEXTJOIN(".",FALSE,MID(F34,1,3),MID(F34,5,LEN(F34)-4)),IF(MID(F34,5,1)=",",_xlfn.TEXTJOIN(".",FALSE,MID(F34,1,4),MID(F34,6,LEN(F34)-5)),F34))))</f>
        <v>7.302450202</v>
      </c>
      <c r="AJ34" t="str">
        <f t="shared" si="6"/>
        <v>17.45584038</v>
      </c>
      <c r="AK34" t="str">
        <f t="shared" si="6"/>
        <v>10.15339018</v>
      </c>
      <c r="AL34" t="str">
        <f t="shared" si="6"/>
        <v>238.3934512</v>
      </c>
      <c r="AM34" t="str">
        <f t="shared" si="6"/>
        <v>2224.662006</v>
      </c>
      <c r="AN34" t="str">
        <f t="shared" si="6"/>
        <v>267.6618129</v>
      </c>
      <c r="AO34" t="str">
        <f t="shared" si="6"/>
        <v>11.52868453</v>
      </c>
      <c r="AP34" t="str">
        <f t="shared" si="6"/>
        <v>238.3934512</v>
      </c>
      <c r="AQ34" t="str">
        <f t="shared" si="6"/>
        <v>11.51960862</v>
      </c>
      <c r="AR34" t="str">
        <f t="shared" si="6"/>
        <v>240.4779461</v>
      </c>
      <c r="AS34" t="str">
        <f t="shared" si="6"/>
        <v>0.679347475</v>
      </c>
      <c r="AT34" t="str">
        <f t="shared" si="6"/>
        <v>0.975224781</v>
      </c>
      <c r="AU34" t="str">
        <f t="shared" si="6"/>
        <v>0.560147866</v>
      </c>
      <c r="AV34" t="str">
        <f t="shared" si="6"/>
        <v>1.546711785</v>
      </c>
      <c r="AW34" t="str">
        <f t="shared" si="6"/>
        <v>0.952377001</v>
      </c>
      <c r="AX34" t="str">
        <f t="shared" si="6"/>
        <v>1.080672498</v>
      </c>
      <c r="AY34" t="str">
        <f t="shared" si="5"/>
        <v>20.96014478</v>
      </c>
      <c r="AZ34" t="str">
        <f t="shared" si="5"/>
        <v>24.00301684</v>
      </c>
      <c r="BA34" t="str">
        <f t="shared" si="5"/>
        <v>3.98603367</v>
      </c>
      <c r="BB34" t="str">
        <f t="shared" si="5"/>
        <v>19.99622896</v>
      </c>
      <c r="BC34" t="str">
        <f t="shared" si="5"/>
        <v>26.00301684</v>
      </c>
      <c r="BD34" t="str">
        <f t="shared" si="5"/>
        <v>0.603161616</v>
      </c>
      <c r="BE34" t="str">
        <f t="shared" si="5"/>
        <v>7.346853872</v>
      </c>
      <c r="BF34" t="str">
        <f t="shared" si="5"/>
        <v>1.779342593</v>
      </c>
      <c r="BG34" t="str">
        <f t="shared" si="5"/>
        <v>0.215820125</v>
      </c>
      <c r="BH34" t="str">
        <f t="shared" si="5"/>
        <v>0.927771927</v>
      </c>
      <c r="BI34" t="str">
        <f t="shared" si="5"/>
        <v>67.51326377</v>
      </c>
      <c r="BJ34" t="str">
        <f t="shared" si="5"/>
        <v>4.915781526</v>
      </c>
    </row>
    <row r="35" spans="1:62" x14ac:dyDescent="0.25">
      <c r="A35" s="3" t="s">
        <v>160</v>
      </c>
      <c r="B35" t="s">
        <v>436</v>
      </c>
      <c r="C35" t="s">
        <v>245</v>
      </c>
      <c r="D35" t="s">
        <v>275</v>
      </c>
      <c r="E35">
        <v>34</v>
      </c>
      <c r="F35">
        <v>6.9296855500000003</v>
      </c>
      <c r="G35">
        <v>17.886886570000001</v>
      </c>
      <c r="H35">
        <v>10.957201019999999</v>
      </c>
      <c r="I35">
        <v>244.3205275</v>
      </c>
      <c r="J35">
        <v>2367.1784480000001</v>
      </c>
      <c r="K35">
        <v>442.60144530000002</v>
      </c>
      <c r="L35">
        <v>12</v>
      </c>
      <c r="M35">
        <v>244.3205275</v>
      </c>
      <c r="N35">
        <v>12</v>
      </c>
      <c r="O35">
        <v>274.87487490000001</v>
      </c>
      <c r="P35">
        <v>0.68328328299999996</v>
      </c>
      <c r="Q35">
        <v>0.96312312300000003</v>
      </c>
      <c r="R35">
        <v>0.51839142299999996</v>
      </c>
      <c r="S35">
        <v>1.567067067</v>
      </c>
      <c r="T35">
        <v>0.90802523899999998</v>
      </c>
      <c r="U35">
        <v>1.0437932009999999</v>
      </c>
      <c r="V35">
        <v>20.854854849999999</v>
      </c>
      <c r="W35">
        <v>24.0960961</v>
      </c>
      <c r="X35">
        <v>3.9399399399999999</v>
      </c>
      <c r="Y35">
        <v>19.87187187</v>
      </c>
      <c r="Z35">
        <v>26.0960961</v>
      </c>
      <c r="AA35">
        <v>0.60060060100000001</v>
      </c>
      <c r="AB35">
        <v>8.4471471470000008</v>
      </c>
      <c r="AC35">
        <v>1.8268268270000001</v>
      </c>
      <c r="AD35">
        <v>0.221957287</v>
      </c>
      <c r="AE35">
        <v>0.88264067599999996</v>
      </c>
      <c r="AF35">
        <v>69.083416479999997</v>
      </c>
      <c r="AG35">
        <v>5.9682037049999996</v>
      </c>
      <c r="AI35" t="str">
        <f t="shared" si="7"/>
        <v>6.92968555</v>
      </c>
      <c r="AJ35" t="str">
        <f t="shared" si="6"/>
        <v>17.88688657</v>
      </c>
      <c r="AK35" t="str">
        <f t="shared" si="6"/>
        <v>10.95720102</v>
      </c>
      <c r="AL35" t="str">
        <f t="shared" si="6"/>
        <v>244.3205275</v>
      </c>
      <c r="AM35" t="str">
        <f t="shared" si="6"/>
        <v>2367.178448</v>
      </c>
      <c r="AN35" t="str">
        <f t="shared" si="6"/>
        <v>442.6014453</v>
      </c>
      <c r="AO35">
        <f t="shared" si="6"/>
        <v>12</v>
      </c>
      <c r="AP35" t="str">
        <f t="shared" si="6"/>
        <v>244.3205275</v>
      </c>
      <c r="AQ35">
        <f t="shared" si="6"/>
        <v>12</v>
      </c>
      <c r="AR35" t="str">
        <f t="shared" si="6"/>
        <v>274.8748749</v>
      </c>
      <c r="AS35" t="str">
        <f t="shared" si="6"/>
        <v>0.683283283</v>
      </c>
      <c r="AT35" t="str">
        <f t="shared" si="6"/>
        <v>0.963123123</v>
      </c>
      <c r="AU35" t="str">
        <f t="shared" si="6"/>
        <v>0.518391423</v>
      </c>
      <c r="AV35" t="str">
        <f t="shared" si="6"/>
        <v>1.567067067</v>
      </c>
      <c r="AW35" t="str">
        <f t="shared" si="6"/>
        <v>0.908025239</v>
      </c>
      <c r="AX35" t="str">
        <f t="shared" si="6"/>
        <v>1.043793201</v>
      </c>
      <c r="AY35" t="str">
        <f t="shared" si="5"/>
        <v>20.85485485</v>
      </c>
      <c r="AZ35" t="str">
        <f t="shared" si="5"/>
        <v>24.0960961</v>
      </c>
      <c r="BA35" t="str">
        <f t="shared" si="5"/>
        <v>3.93993994</v>
      </c>
      <c r="BB35" t="str">
        <f t="shared" si="5"/>
        <v>19.87187187</v>
      </c>
      <c r="BC35" t="str">
        <f t="shared" si="5"/>
        <v>26.0960961</v>
      </c>
      <c r="BD35" t="str">
        <f t="shared" si="5"/>
        <v>0.600600601</v>
      </c>
      <c r="BE35" t="str">
        <f t="shared" si="5"/>
        <v>8.447147147</v>
      </c>
      <c r="BF35" t="str">
        <f t="shared" si="5"/>
        <v>1.826826827</v>
      </c>
      <c r="BG35" t="str">
        <f t="shared" si="5"/>
        <v>0.221957287</v>
      </c>
      <c r="BH35" t="str">
        <f t="shared" si="5"/>
        <v>0.882640676</v>
      </c>
      <c r="BI35" t="str">
        <f t="shared" si="5"/>
        <v>69.08341648</v>
      </c>
      <c r="BJ35" t="str">
        <f t="shared" si="5"/>
        <v>5.968203705</v>
      </c>
    </row>
    <row r="36" spans="1:62" x14ac:dyDescent="0.25">
      <c r="A36" s="3" t="s">
        <v>161</v>
      </c>
      <c r="B36" t="s">
        <v>437</v>
      </c>
      <c r="C36" t="s">
        <v>245</v>
      </c>
      <c r="D36" t="s">
        <v>276</v>
      </c>
      <c r="E36">
        <v>35</v>
      </c>
      <c r="F36">
        <v>6.9296855500000003</v>
      </c>
      <c r="G36">
        <v>17.886886570000001</v>
      </c>
      <c r="H36">
        <v>10.957201019999999</v>
      </c>
      <c r="I36">
        <v>244.3205275</v>
      </c>
      <c r="J36">
        <v>2367.1784480000001</v>
      </c>
      <c r="K36">
        <v>442.60144530000002</v>
      </c>
      <c r="L36">
        <v>12</v>
      </c>
      <c r="M36">
        <v>244.3205275</v>
      </c>
      <c r="N36">
        <v>12</v>
      </c>
      <c r="O36">
        <v>274.87487490000001</v>
      </c>
      <c r="P36">
        <v>0.68328328299999996</v>
      </c>
      <c r="Q36">
        <v>0.96312312300000003</v>
      </c>
      <c r="R36">
        <v>0.51839142299999996</v>
      </c>
      <c r="S36">
        <v>1.567067067</v>
      </c>
      <c r="T36">
        <v>0.90802523899999998</v>
      </c>
      <c r="U36">
        <v>1.0437932009999999</v>
      </c>
      <c r="V36">
        <v>20.854854849999999</v>
      </c>
      <c r="W36">
        <v>24.0960961</v>
      </c>
      <c r="X36">
        <v>3.9399399399999999</v>
      </c>
      <c r="Y36">
        <v>19.87187187</v>
      </c>
      <c r="Z36">
        <v>26.0960961</v>
      </c>
      <c r="AA36">
        <v>0.60060060100000001</v>
      </c>
      <c r="AB36">
        <v>8.4471471470000008</v>
      </c>
      <c r="AC36">
        <v>1.8268268270000001</v>
      </c>
      <c r="AD36">
        <v>0.221957287</v>
      </c>
      <c r="AE36">
        <v>0.88264067599999996</v>
      </c>
      <c r="AF36">
        <v>69.083416479999997</v>
      </c>
      <c r="AG36">
        <v>5.9682037049999996</v>
      </c>
      <c r="AI36" t="str">
        <f t="shared" si="7"/>
        <v>6.92968555</v>
      </c>
      <c r="AJ36" t="str">
        <f t="shared" si="6"/>
        <v>17.88688657</v>
      </c>
      <c r="AK36" t="str">
        <f t="shared" si="6"/>
        <v>10.95720102</v>
      </c>
      <c r="AL36" t="str">
        <f t="shared" si="6"/>
        <v>244.3205275</v>
      </c>
      <c r="AM36" t="str">
        <f t="shared" si="6"/>
        <v>2367.178448</v>
      </c>
      <c r="AN36" t="str">
        <f t="shared" si="6"/>
        <v>442.6014453</v>
      </c>
      <c r="AO36">
        <f t="shared" si="6"/>
        <v>12</v>
      </c>
      <c r="AP36" t="str">
        <f t="shared" si="6"/>
        <v>244.3205275</v>
      </c>
      <c r="AQ36">
        <f t="shared" si="6"/>
        <v>12</v>
      </c>
      <c r="AR36" t="str">
        <f t="shared" si="6"/>
        <v>274.8748749</v>
      </c>
      <c r="AS36" t="str">
        <f t="shared" si="6"/>
        <v>0.683283283</v>
      </c>
      <c r="AT36" t="str">
        <f t="shared" si="6"/>
        <v>0.963123123</v>
      </c>
      <c r="AU36" t="str">
        <f t="shared" si="6"/>
        <v>0.518391423</v>
      </c>
      <c r="AV36" t="str">
        <f t="shared" si="6"/>
        <v>1.567067067</v>
      </c>
      <c r="AW36" t="str">
        <f t="shared" si="6"/>
        <v>0.908025239</v>
      </c>
      <c r="AX36" t="str">
        <f t="shared" si="6"/>
        <v>1.043793201</v>
      </c>
      <c r="AY36" t="str">
        <f t="shared" si="5"/>
        <v>20.85485485</v>
      </c>
      <c r="AZ36" t="str">
        <f t="shared" si="5"/>
        <v>24.0960961</v>
      </c>
      <c r="BA36" t="str">
        <f t="shared" si="5"/>
        <v>3.93993994</v>
      </c>
      <c r="BB36" t="str">
        <f t="shared" si="5"/>
        <v>19.87187187</v>
      </c>
      <c r="BC36" t="str">
        <f t="shared" si="5"/>
        <v>26.0960961</v>
      </c>
      <c r="BD36" t="str">
        <f t="shared" si="5"/>
        <v>0.600600601</v>
      </c>
      <c r="BE36" t="str">
        <f t="shared" si="5"/>
        <v>8.447147147</v>
      </c>
      <c r="BF36" t="str">
        <f t="shared" si="5"/>
        <v>1.826826827</v>
      </c>
      <c r="BG36" t="str">
        <f t="shared" si="5"/>
        <v>0.221957287</v>
      </c>
      <c r="BH36" t="str">
        <f t="shared" si="5"/>
        <v>0.882640676</v>
      </c>
      <c r="BI36" t="str">
        <f t="shared" si="5"/>
        <v>69.08341648</v>
      </c>
      <c r="BJ36" t="str">
        <f t="shared" si="5"/>
        <v>5.968203705</v>
      </c>
    </row>
    <row r="37" spans="1:62" x14ac:dyDescent="0.25">
      <c r="A37" s="3" t="s">
        <v>162</v>
      </c>
      <c r="B37" t="s">
        <v>438</v>
      </c>
      <c r="C37" t="s">
        <v>245</v>
      </c>
      <c r="D37" t="s">
        <v>277</v>
      </c>
      <c r="E37">
        <v>36</v>
      </c>
      <c r="F37">
        <v>6.9296855500000003</v>
      </c>
      <c r="G37">
        <v>17.886886570000001</v>
      </c>
      <c r="H37">
        <v>10.957201019999999</v>
      </c>
      <c r="I37">
        <v>244.3205275</v>
      </c>
      <c r="J37">
        <v>2367.1784480000001</v>
      </c>
      <c r="K37">
        <v>442.60144530000002</v>
      </c>
      <c r="L37">
        <v>12</v>
      </c>
      <c r="M37">
        <v>244.3205275</v>
      </c>
      <c r="N37">
        <v>12</v>
      </c>
      <c r="O37">
        <v>274.87487490000001</v>
      </c>
      <c r="P37">
        <v>0.68328328299999996</v>
      </c>
      <c r="Q37">
        <v>0.96312312300000003</v>
      </c>
      <c r="R37">
        <v>0.51839142299999996</v>
      </c>
      <c r="S37">
        <v>1.567067067</v>
      </c>
      <c r="T37">
        <v>0.90802523899999998</v>
      </c>
      <c r="U37">
        <v>1.0437932009999999</v>
      </c>
      <c r="V37">
        <v>20.854854849999999</v>
      </c>
      <c r="W37">
        <v>24.0960961</v>
      </c>
      <c r="X37">
        <v>3.9399399399999999</v>
      </c>
      <c r="Y37">
        <v>19.87187187</v>
      </c>
      <c r="Z37">
        <v>26.0960961</v>
      </c>
      <c r="AA37">
        <v>0.60060060100000001</v>
      </c>
      <c r="AB37">
        <v>8.4471471470000008</v>
      </c>
      <c r="AC37">
        <v>1.8268268270000001</v>
      </c>
      <c r="AD37">
        <v>0.221957287</v>
      </c>
      <c r="AE37">
        <v>0.88264067599999996</v>
      </c>
      <c r="AF37">
        <v>69.083416479999997</v>
      </c>
      <c r="AG37">
        <v>5.9682037049999996</v>
      </c>
      <c r="AI37" t="str">
        <f t="shared" si="7"/>
        <v>6.92968555</v>
      </c>
      <c r="AJ37" t="str">
        <f t="shared" si="6"/>
        <v>17.88688657</v>
      </c>
      <c r="AK37" t="str">
        <f t="shared" si="6"/>
        <v>10.95720102</v>
      </c>
      <c r="AL37" t="str">
        <f t="shared" si="6"/>
        <v>244.3205275</v>
      </c>
      <c r="AM37" t="str">
        <f t="shared" si="6"/>
        <v>2367.178448</v>
      </c>
      <c r="AN37" t="str">
        <f t="shared" si="6"/>
        <v>442.6014453</v>
      </c>
      <c r="AO37">
        <f t="shared" si="6"/>
        <v>12</v>
      </c>
      <c r="AP37" t="str">
        <f t="shared" si="6"/>
        <v>244.3205275</v>
      </c>
      <c r="AQ37">
        <f t="shared" si="6"/>
        <v>12</v>
      </c>
      <c r="AR37" t="str">
        <f t="shared" si="6"/>
        <v>274.8748749</v>
      </c>
      <c r="AS37" t="str">
        <f t="shared" si="6"/>
        <v>0.683283283</v>
      </c>
      <c r="AT37" t="str">
        <f t="shared" si="6"/>
        <v>0.963123123</v>
      </c>
      <c r="AU37" t="str">
        <f t="shared" si="6"/>
        <v>0.518391423</v>
      </c>
      <c r="AV37" t="str">
        <f t="shared" si="6"/>
        <v>1.567067067</v>
      </c>
      <c r="AW37" t="str">
        <f t="shared" si="6"/>
        <v>0.908025239</v>
      </c>
      <c r="AX37" t="str">
        <f t="shared" si="6"/>
        <v>1.043793201</v>
      </c>
      <c r="AY37" t="str">
        <f t="shared" si="5"/>
        <v>20.85485485</v>
      </c>
      <c r="AZ37" t="str">
        <f t="shared" si="5"/>
        <v>24.0960961</v>
      </c>
      <c r="BA37" t="str">
        <f t="shared" si="5"/>
        <v>3.93993994</v>
      </c>
      <c r="BB37" t="str">
        <f t="shared" si="5"/>
        <v>19.87187187</v>
      </c>
      <c r="BC37" t="str">
        <f t="shared" si="5"/>
        <v>26.0960961</v>
      </c>
      <c r="BD37" t="str">
        <f t="shared" si="5"/>
        <v>0.600600601</v>
      </c>
      <c r="BE37" t="str">
        <f t="shared" si="5"/>
        <v>8.447147147</v>
      </c>
      <c r="BF37" t="str">
        <f t="shared" si="5"/>
        <v>1.826826827</v>
      </c>
      <c r="BG37" t="str">
        <f t="shared" si="5"/>
        <v>0.221957287</v>
      </c>
      <c r="BH37" t="str">
        <f t="shared" si="5"/>
        <v>0.882640676</v>
      </c>
      <c r="BI37" t="str">
        <f t="shared" si="5"/>
        <v>69.08341648</v>
      </c>
      <c r="BJ37" t="str">
        <f t="shared" si="5"/>
        <v>5.968203705</v>
      </c>
    </row>
    <row r="38" spans="1:62" x14ac:dyDescent="0.25">
      <c r="A38" s="3" t="s">
        <v>163</v>
      </c>
      <c r="B38" t="s">
        <v>439</v>
      </c>
      <c r="C38" t="s">
        <v>245</v>
      </c>
      <c r="D38" t="s">
        <v>278</v>
      </c>
      <c r="E38">
        <v>37</v>
      </c>
      <c r="F38">
        <v>6.9296855500000003</v>
      </c>
      <c r="G38">
        <v>17.886886570000001</v>
      </c>
      <c r="H38">
        <v>10.957201019999999</v>
      </c>
      <c r="I38">
        <v>244.3205275</v>
      </c>
      <c r="J38">
        <v>2367.1784480000001</v>
      </c>
      <c r="K38">
        <v>442.60144530000002</v>
      </c>
      <c r="L38">
        <v>12</v>
      </c>
      <c r="M38">
        <v>244.3205275</v>
      </c>
      <c r="N38">
        <v>12</v>
      </c>
      <c r="O38">
        <v>274.87487490000001</v>
      </c>
      <c r="P38">
        <v>0.68328328299999996</v>
      </c>
      <c r="Q38">
        <v>0.96312312300000003</v>
      </c>
      <c r="R38">
        <v>0.51839142299999996</v>
      </c>
      <c r="S38">
        <v>1.567067067</v>
      </c>
      <c r="T38">
        <v>0.90802523899999998</v>
      </c>
      <c r="U38">
        <v>1.0437932009999999</v>
      </c>
      <c r="V38">
        <v>20.854854849999999</v>
      </c>
      <c r="W38">
        <v>24.0960961</v>
      </c>
      <c r="X38">
        <v>3.9399399399999999</v>
      </c>
      <c r="Y38">
        <v>19.87187187</v>
      </c>
      <c r="Z38">
        <v>26.0960961</v>
      </c>
      <c r="AA38">
        <v>0.60060060100000001</v>
      </c>
      <c r="AB38">
        <v>8.4471471470000008</v>
      </c>
      <c r="AC38">
        <v>1.8268268270000001</v>
      </c>
      <c r="AD38">
        <v>0.221957287</v>
      </c>
      <c r="AE38">
        <v>0.88264067599999996</v>
      </c>
      <c r="AF38">
        <v>69.083416479999997</v>
      </c>
      <c r="AG38">
        <v>5.9682037049999996</v>
      </c>
      <c r="AI38" t="str">
        <f t="shared" si="7"/>
        <v>6.92968555</v>
      </c>
      <c r="AJ38" t="str">
        <f t="shared" si="6"/>
        <v>17.88688657</v>
      </c>
      <c r="AK38" t="str">
        <f t="shared" si="6"/>
        <v>10.95720102</v>
      </c>
      <c r="AL38" t="str">
        <f t="shared" si="6"/>
        <v>244.3205275</v>
      </c>
      <c r="AM38" t="str">
        <f t="shared" si="6"/>
        <v>2367.178448</v>
      </c>
      <c r="AN38" t="str">
        <f t="shared" si="6"/>
        <v>442.6014453</v>
      </c>
      <c r="AO38">
        <f t="shared" si="6"/>
        <v>12</v>
      </c>
      <c r="AP38" t="str">
        <f t="shared" si="6"/>
        <v>244.3205275</v>
      </c>
      <c r="AQ38">
        <f t="shared" si="6"/>
        <v>12</v>
      </c>
      <c r="AR38" t="str">
        <f t="shared" si="6"/>
        <v>274.8748749</v>
      </c>
      <c r="AS38" t="str">
        <f t="shared" si="6"/>
        <v>0.683283283</v>
      </c>
      <c r="AT38" t="str">
        <f t="shared" si="6"/>
        <v>0.963123123</v>
      </c>
      <c r="AU38" t="str">
        <f t="shared" si="6"/>
        <v>0.518391423</v>
      </c>
      <c r="AV38" t="str">
        <f t="shared" si="6"/>
        <v>1.567067067</v>
      </c>
      <c r="AW38" t="str">
        <f t="shared" si="6"/>
        <v>0.908025239</v>
      </c>
      <c r="AX38" t="str">
        <f t="shared" si="6"/>
        <v>1.043793201</v>
      </c>
      <c r="AY38" t="str">
        <f t="shared" si="5"/>
        <v>20.85485485</v>
      </c>
      <c r="AZ38" t="str">
        <f t="shared" si="5"/>
        <v>24.0960961</v>
      </c>
      <c r="BA38" t="str">
        <f t="shared" si="5"/>
        <v>3.93993994</v>
      </c>
      <c r="BB38" t="str">
        <f t="shared" si="5"/>
        <v>19.87187187</v>
      </c>
      <c r="BC38" t="str">
        <f t="shared" si="5"/>
        <v>26.0960961</v>
      </c>
      <c r="BD38" t="str">
        <f t="shared" si="5"/>
        <v>0.600600601</v>
      </c>
      <c r="BE38" t="str">
        <f t="shared" si="5"/>
        <v>8.447147147</v>
      </c>
      <c r="BF38" t="str">
        <f t="shared" si="5"/>
        <v>1.826826827</v>
      </c>
      <c r="BG38" t="str">
        <f t="shared" si="5"/>
        <v>0.221957287</v>
      </c>
      <c r="BH38" t="str">
        <f t="shared" si="5"/>
        <v>0.882640676</v>
      </c>
      <c r="BI38" t="str">
        <f t="shared" si="5"/>
        <v>69.08341648</v>
      </c>
      <c r="BJ38" t="str">
        <f t="shared" si="5"/>
        <v>5.968203705</v>
      </c>
    </row>
    <row r="39" spans="1:62" x14ac:dyDescent="0.25">
      <c r="A39" s="3" t="s">
        <v>164</v>
      </c>
      <c r="B39" t="s">
        <v>440</v>
      </c>
      <c r="C39" t="s">
        <v>245</v>
      </c>
      <c r="D39" t="s">
        <v>279</v>
      </c>
      <c r="E39">
        <v>38</v>
      </c>
      <c r="F39">
        <v>6.9296855500000003</v>
      </c>
      <c r="G39">
        <v>17.886886570000001</v>
      </c>
      <c r="H39">
        <v>10.957201019999999</v>
      </c>
      <c r="I39">
        <v>244.3205275</v>
      </c>
      <c r="J39">
        <v>2367.1784480000001</v>
      </c>
      <c r="K39">
        <v>442.60144530000002</v>
      </c>
      <c r="L39">
        <v>12</v>
      </c>
      <c r="M39">
        <v>244.3205275</v>
      </c>
      <c r="N39">
        <v>12</v>
      </c>
      <c r="O39">
        <v>274.87487490000001</v>
      </c>
      <c r="P39">
        <v>0.68328328299999996</v>
      </c>
      <c r="Q39">
        <v>0.96312312300000003</v>
      </c>
      <c r="R39">
        <v>0.51839142299999996</v>
      </c>
      <c r="S39">
        <v>1.567067067</v>
      </c>
      <c r="T39">
        <v>0.90802523899999998</v>
      </c>
      <c r="U39">
        <v>1.0437932009999999</v>
      </c>
      <c r="V39">
        <v>20.854854849999999</v>
      </c>
      <c r="W39">
        <v>24.0960961</v>
      </c>
      <c r="X39">
        <v>3.9399399399999999</v>
      </c>
      <c r="Y39">
        <v>19.87187187</v>
      </c>
      <c r="Z39">
        <v>26.0960961</v>
      </c>
      <c r="AA39">
        <v>0.60060060100000001</v>
      </c>
      <c r="AB39">
        <v>8.4471471470000008</v>
      </c>
      <c r="AC39">
        <v>1.8268268270000001</v>
      </c>
      <c r="AD39">
        <v>0.221957287</v>
      </c>
      <c r="AE39">
        <v>0.88264067599999996</v>
      </c>
      <c r="AF39">
        <v>69.083416479999997</v>
      </c>
      <c r="AG39">
        <v>5.9682037049999996</v>
      </c>
      <c r="AI39" t="str">
        <f t="shared" si="7"/>
        <v>6.92968555</v>
      </c>
      <c r="AJ39" t="str">
        <f t="shared" si="6"/>
        <v>17.88688657</v>
      </c>
      <c r="AK39" t="str">
        <f t="shared" si="6"/>
        <v>10.95720102</v>
      </c>
      <c r="AL39" t="str">
        <f t="shared" si="6"/>
        <v>244.3205275</v>
      </c>
      <c r="AM39" t="str">
        <f t="shared" si="6"/>
        <v>2367.178448</v>
      </c>
      <c r="AN39" t="str">
        <f t="shared" si="6"/>
        <v>442.6014453</v>
      </c>
      <c r="AO39">
        <f t="shared" si="6"/>
        <v>12</v>
      </c>
      <c r="AP39" t="str">
        <f t="shared" si="6"/>
        <v>244.3205275</v>
      </c>
      <c r="AQ39">
        <f t="shared" si="6"/>
        <v>12</v>
      </c>
      <c r="AR39" t="str">
        <f t="shared" si="6"/>
        <v>274.8748749</v>
      </c>
      <c r="AS39" t="str">
        <f t="shared" si="6"/>
        <v>0.683283283</v>
      </c>
      <c r="AT39" t="str">
        <f t="shared" si="6"/>
        <v>0.963123123</v>
      </c>
      <c r="AU39" t="str">
        <f t="shared" si="6"/>
        <v>0.518391423</v>
      </c>
      <c r="AV39" t="str">
        <f t="shared" si="6"/>
        <v>1.567067067</v>
      </c>
      <c r="AW39" t="str">
        <f t="shared" si="6"/>
        <v>0.908025239</v>
      </c>
      <c r="AX39" t="str">
        <f t="shared" si="6"/>
        <v>1.043793201</v>
      </c>
      <c r="AY39" t="str">
        <f t="shared" si="5"/>
        <v>20.85485485</v>
      </c>
      <c r="AZ39" t="str">
        <f t="shared" si="5"/>
        <v>24.0960961</v>
      </c>
      <c r="BA39" t="str">
        <f t="shared" si="5"/>
        <v>3.93993994</v>
      </c>
      <c r="BB39" t="str">
        <f t="shared" si="5"/>
        <v>19.87187187</v>
      </c>
      <c r="BC39" t="str">
        <f t="shared" si="5"/>
        <v>26.0960961</v>
      </c>
      <c r="BD39" t="str">
        <f t="shared" si="5"/>
        <v>0.600600601</v>
      </c>
      <c r="BE39" t="str">
        <f t="shared" si="5"/>
        <v>8.447147147</v>
      </c>
      <c r="BF39" t="str">
        <f t="shared" si="5"/>
        <v>1.826826827</v>
      </c>
      <c r="BG39" t="str">
        <f t="shared" si="5"/>
        <v>0.221957287</v>
      </c>
      <c r="BH39" t="str">
        <f t="shared" si="5"/>
        <v>0.882640676</v>
      </c>
      <c r="BI39" t="str">
        <f t="shared" si="5"/>
        <v>69.08341648</v>
      </c>
      <c r="BJ39" t="str">
        <f t="shared" si="5"/>
        <v>5.968203705</v>
      </c>
    </row>
    <row r="40" spans="1:62" x14ac:dyDescent="0.25">
      <c r="A40" s="3" t="s">
        <v>165</v>
      </c>
      <c r="B40" t="s">
        <v>441</v>
      </c>
      <c r="C40" t="s">
        <v>245</v>
      </c>
      <c r="D40" t="s">
        <v>280</v>
      </c>
      <c r="E40">
        <v>39</v>
      </c>
      <c r="F40">
        <v>6.3968528019999997</v>
      </c>
      <c r="G40">
        <v>17.01362314</v>
      </c>
      <c r="H40">
        <v>10.61677034</v>
      </c>
      <c r="I40">
        <v>255.07838430000001</v>
      </c>
      <c r="J40">
        <v>2241.466766</v>
      </c>
      <c r="K40">
        <v>496.81191319999999</v>
      </c>
      <c r="L40">
        <v>13.255088689999999</v>
      </c>
      <c r="M40">
        <v>255.07838430000001</v>
      </c>
      <c r="N40">
        <v>13.255088689999999</v>
      </c>
      <c r="O40">
        <v>277.27727729999998</v>
      </c>
      <c r="P40">
        <v>0.71531531500000001</v>
      </c>
      <c r="Q40">
        <v>0.96315315300000004</v>
      </c>
      <c r="R40">
        <v>0.57482714899999998</v>
      </c>
      <c r="S40">
        <v>1.4028028029999999</v>
      </c>
      <c r="T40">
        <v>0.88978225</v>
      </c>
      <c r="U40">
        <v>1.0790386540000001</v>
      </c>
      <c r="V40">
        <v>21.002002000000001</v>
      </c>
      <c r="W40">
        <v>24</v>
      </c>
      <c r="X40">
        <v>3.7757757760000001</v>
      </c>
      <c r="Y40">
        <v>20</v>
      </c>
      <c r="Z40">
        <v>26</v>
      </c>
      <c r="AA40">
        <v>0.63463463499999995</v>
      </c>
      <c r="AB40">
        <v>7.7433433430000003</v>
      </c>
      <c r="AC40">
        <v>1.8333333329999999</v>
      </c>
      <c r="AD40">
        <v>0.28718376299999998</v>
      </c>
      <c r="AE40">
        <v>0.81391759900000005</v>
      </c>
      <c r="AF40">
        <v>68.536744870000007</v>
      </c>
      <c r="AG40">
        <v>3.5573448870000002</v>
      </c>
      <c r="AI40" t="str">
        <f t="shared" si="7"/>
        <v>6.396852802</v>
      </c>
      <c r="AJ40" t="str">
        <f t="shared" si="6"/>
        <v>17.01362314</v>
      </c>
      <c r="AK40" t="str">
        <f t="shared" si="6"/>
        <v>10.61677034</v>
      </c>
      <c r="AL40" t="str">
        <f t="shared" si="6"/>
        <v>255.0783843</v>
      </c>
      <c r="AM40" t="str">
        <f t="shared" si="6"/>
        <v>2241.466766</v>
      </c>
      <c r="AN40" t="str">
        <f t="shared" si="6"/>
        <v>496.8119132</v>
      </c>
      <c r="AO40" t="str">
        <f t="shared" si="6"/>
        <v>13.25508869</v>
      </c>
      <c r="AP40" t="str">
        <f t="shared" si="6"/>
        <v>255.0783843</v>
      </c>
      <c r="AQ40" t="str">
        <f t="shared" si="6"/>
        <v>13.25508869</v>
      </c>
      <c r="AR40" t="str">
        <f t="shared" si="6"/>
        <v>277.2772773</v>
      </c>
      <c r="AS40" t="str">
        <f t="shared" si="6"/>
        <v>0.715315315</v>
      </c>
      <c r="AT40" t="str">
        <f t="shared" si="6"/>
        <v>0.963153153</v>
      </c>
      <c r="AU40" t="str">
        <f t="shared" si="6"/>
        <v>0.574827149</v>
      </c>
      <c r="AV40" t="str">
        <f t="shared" si="6"/>
        <v>1.402802803</v>
      </c>
      <c r="AW40" t="str">
        <f t="shared" si="6"/>
        <v>0.88978225</v>
      </c>
      <c r="AX40" t="str">
        <f t="shared" si="6"/>
        <v>1.079038654</v>
      </c>
      <c r="AY40" t="str">
        <f t="shared" si="5"/>
        <v>21.002002</v>
      </c>
      <c r="AZ40">
        <f t="shared" si="5"/>
        <v>24</v>
      </c>
      <c r="BA40" t="str">
        <f t="shared" si="5"/>
        <v>3.775775776</v>
      </c>
      <c r="BB40">
        <f t="shared" si="5"/>
        <v>20</v>
      </c>
      <c r="BC40">
        <f t="shared" si="5"/>
        <v>26</v>
      </c>
      <c r="BD40" t="str">
        <f t="shared" si="5"/>
        <v>0.634634635</v>
      </c>
      <c r="BE40" t="str">
        <f t="shared" si="5"/>
        <v>7.743343343</v>
      </c>
      <c r="BF40" t="str">
        <f t="shared" si="5"/>
        <v>1.833333333</v>
      </c>
      <c r="BG40" t="str">
        <f t="shared" si="5"/>
        <v>0.287183763</v>
      </c>
      <c r="BH40" t="str">
        <f t="shared" si="5"/>
        <v>0.813917599</v>
      </c>
      <c r="BI40" t="str">
        <f t="shared" si="5"/>
        <v>68.53674487</v>
      </c>
      <c r="BJ40" t="str">
        <f t="shared" si="5"/>
        <v>3.557344887</v>
      </c>
    </row>
    <row r="41" spans="1:62" x14ac:dyDescent="0.25">
      <c r="A41" s="3" t="s">
        <v>166</v>
      </c>
      <c r="B41" t="s">
        <v>442</v>
      </c>
      <c r="C41" t="s">
        <v>245</v>
      </c>
      <c r="D41" t="s">
        <v>281</v>
      </c>
      <c r="E41">
        <v>40</v>
      </c>
      <c r="F41">
        <v>7.3860773249999996</v>
      </c>
      <c r="G41">
        <v>17.440913259999999</v>
      </c>
      <c r="H41">
        <v>10.054835929999999</v>
      </c>
      <c r="I41">
        <v>239.0394268</v>
      </c>
      <c r="J41">
        <v>2227.0649480000002</v>
      </c>
      <c r="K41">
        <v>234.4047247</v>
      </c>
      <c r="L41">
        <v>11.54371701</v>
      </c>
      <c r="M41">
        <v>239.0394268</v>
      </c>
      <c r="N41">
        <v>11.54371701</v>
      </c>
      <c r="O41">
        <v>242.16630420000001</v>
      </c>
      <c r="P41">
        <v>0.69887003000000003</v>
      </c>
      <c r="Q41">
        <v>0.97405797599999999</v>
      </c>
      <c r="R41">
        <v>0.57890412099999999</v>
      </c>
      <c r="S41">
        <v>1.5145697419999999</v>
      </c>
      <c r="T41">
        <v>0.95672292999999997</v>
      </c>
      <c r="U41">
        <v>1.0654460569999999</v>
      </c>
      <c r="V41">
        <v>20.993309920000002</v>
      </c>
      <c r="W41">
        <v>24</v>
      </c>
      <c r="X41">
        <v>3.9937492350000001</v>
      </c>
      <c r="Y41">
        <v>20</v>
      </c>
      <c r="Z41">
        <v>26</v>
      </c>
      <c r="AA41">
        <v>0.61331864800000002</v>
      </c>
      <c r="AB41">
        <v>8.0333214089999991</v>
      </c>
      <c r="AC41">
        <v>1.9226161900000001</v>
      </c>
      <c r="AD41">
        <v>0.23767939199999999</v>
      </c>
      <c r="AE41">
        <v>0.92496124199999996</v>
      </c>
      <c r="AF41">
        <v>66.779211230000001</v>
      </c>
      <c r="AG41">
        <v>6.4815840219999998</v>
      </c>
      <c r="AI41" t="str">
        <f t="shared" si="7"/>
        <v>7.386077325</v>
      </c>
      <c r="AJ41" t="str">
        <f t="shared" si="6"/>
        <v>17.44091326</v>
      </c>
      <c r="AK41" t="str">
        <f t="shared" si="6"/>
        <v>10.05483593</v>
      </c>
      <c r="AL41" t="str">
        <f t="shared" si="6"/>
        <v>239.0394268</v>
      </c>
      <c r="AM41" t="str">
        <f t="shared" si="6"/>
        <v>2227.064948</v>
      </c>
      <c r="AN41" t="str">
        <f t="shared" si="6"/>
        <v>234.4047247</v>
      </c>
      <c r="AO41" t="str">
        <f t="shared" si="6"/>
        <v>11.54371701</v>
      </c>
      <c r="AP41" t="str">
        <f t="shared" si="6"/>
        <v>239.0394268</v>
      </c>
      <c r="AQ41" t="str">
        <f t="shared" si="6"/>
        <v>11.54371701</v>
      </c>
      <c r="AR41" t="str">
        <f t="shared" si="6"/>
        <v>242.1663042</v>
      </c>
      <c r="AS41" t="str">
        <f t="shared" si="6"/>
        <v>0.69887003</v>
      </c>
      <c r="AT41" t="str">
        <f t="shared" si="6"/>
        <v>0.974057976</v>
      </c>
      <c r="AU41" t="str">
        <f t="shared" si="6"/>
        <v>0.578904121</v>
      </c>
      <c r="AV41" t="str">
        <f t="shared" si="6"/>
        <v>1.514569742</v>
      </c>
      <c r="AW41" t="str">
        <f t="shared" si="6"/>
        <v>0.95672293</v>
      </c>
      <c r="AX41" t="str">
        <f t="shared" si="6"/>
        <v>1.065446057</v>
      </c>
      <c r="AY41" t="str">
        <f t="shared" si="5"/>
        <v>20.99330992</v>
      </c>
      <c r="AZ41">
        <f t="shared" si="5"/>
        <v>24</v>
      </c>
      <c r="BA41" t="str">
        <f t="shared" si="5"/>
        <v>3.993749235</v>
      </c>
      <c r="BB41">
        <f t="shared" si="5"/>
        <v>20</v>
      </c>
      <c r="BC41">
        <f t="shared" si="5"/>
        <v>26</v>
      </c>
      <c r="BD41" t="str">
        <f t="shared" si="5"/>
        <v>0.613318648</v>
      </c>
      <c r="BE41" t="str">
        <f t="shared" si="5"/>
        <v>8.033321409</v>
      </c>
      <c r="BF41" t="str">
        <f t="shared" si="5"/>
        <v>1.92261619</v>
      </c>
      <c r="BG41" t="str">
        <f t="shared" si="5"/>
        <v>0.237679392</v>
      </c>
      <c r="BH41" t="str">
        <f t="shared" si="5"/>
        <v>0.924961242</v>
      </c>
      <c r="BI41" t="str">
        <f t="shared" si="5"/>
        <v>66.77921123</v>
      </c>
      <c r="BJ41" t="str">
        <f t="shared" si="5"/>
        <v>6.481584022</v>
      </c>
    </row>
    <row r="42" spans="1:62" x14ac:dyDescent="0.25">
      <c r="A42" s="3" t="s">
        <v>167</v>
      </c>
      <c r="B42" t="s">
        <v>443</v>
      </c>
      <c r="C42" t="s">
        <v>245</v>
      </c>
      <c r="D42" t="s">
        <v>282</v>
      </c>
      <c r="E42">
        <v>41</v>
      </c>
      <c r="F42">
        <v>7.3860773249999996</v>
      </c>
      <c r="G42">
        <v>17.440913259999999</v>
      </c>
      <c r="H42">
        <v>10.054835929999999</v>
      </c>
      <c r="I42">
        <v>239.0394268</v>
      </c>
      <c r="J42">
        <v>2227.0649480000002</v>
      </c>
      <c r="K42">
        <v>234.4047247</v>
      </c>
      <c r="L42">
        <v>11.54371701</v>
      </c>
      <c r="M42">
        <v>239.0394268</v>
      </c>
      <c r="N42">
        <v>11.54371701</v>
      </c>
      <c r="O42">
        <v>242.16630420000001</v>
      </c>
      <c r="P42">
        <v>0.69887003000000003</v>
      </c>
      <c r="Q42">
        <v>0.97405797599999999</v>
      </c>
      <c r="R42">
        <v>0.57890412099999999</v>
      </c>
      <c r="S42">
        <v>1.5145697419999999</v>
      </c>
      <c r="T42">
        <v>0.95672292999999997</v>
      </c>
      <c r="U42">
        <v>1.0654460569999999</v>
      </c>
      <c r="V42">
        <v>20.993309920000002</v>
      </c>
      <c r="W42">
        <v>24</v>
      </c>
      <c r="X42">
        <v>3.9937492350000001</v>
      </c>
      <c r="Y42">
        <v>20</v>
      </c>
      <c r="Z42">
        <v>26</v>
      </c>
      <c r="AA42">
        <v>0.61331864800000002</v>
      </c>
      <c r="AB42">
        <v>8.0333214089999991</v>
      </c>
      <c r="AC42">
        <v>1.9226161900000001</v>
      </c>
      <c r="AD42">
        <v>0.23767939199999999</v>
      </c>
      <c r="AE42">
        <v>0.92496124199999996</v>
      </c>
      <c r="AF42">
        <v>66.779211230000001</v>
      </c>
      <c r="AG42">
        <v>6.4815840219999998</v>
      </c>
      <c r="AI42" t="str">
        <f t="shared" si="7"/>
        <v>7.386077325</v>
      </c>
      <c r="AJ42" t="str">
        <f t="shared" si="6"/>
        <v>17.44091326</v>
      </c>
      <c r="AK42" t="str">
        <f t="shared" si="6"/>
        <v>10.05483593</v>
      </c>
      <c r="AL42" t="str">
        <f t="shared" si="6"/>
        <v>239.0394268</v>
      </c>
      <c r="AM42" t="str">
        <f t="shared" si="6"/>
        <v>2227.064948</v>
      </c>
      <c r="AN42" t="str">
        <f t="shared" si="6"/>
        <v>234.4047247</v>
      </c>
      <c r="AO42" t="str">
        <f t="shared" si="6"/>
        <v>11.54371701</v>
      </c>
      <c r="AP42" t="str">
        <f t="shared" si="6"/>
        <v>239.0394268</v>
      </c>
      <c r="AQ42" t="str">
        <f t="shared" si="6"/>
        <v>11.54371701</v>
      </c>
      <c r="AR42" t="str">
        <f t="shared" si="6"/>
        <v>242.1663042</v>
      </c>
      <c r="AS42" t="str">
        <f t="shared" si="6"/>
        <v>0.69887003</v>
      </c>
      <c r="AT42" t="str">
        <f t="shared" si="6"/>
        <v>0.974057976</v>
      </c>
      <c r="AU42" t="str">
        <f t="shared" si="6"/>
        <v>0.578904121</v>
      </c>
      <c r="AV42" t="str">
        <f t="shared" si="6"/>
        <v>1.514569742</v>
      </c>
      <c r="AW42" t="str">
        <f t="shared" si="6"/>
        <v>0.95672293</v>
      </c>
      <c r="AX42" t="str">
        <f t="shared" si="6"/>
        <v>1.065446057</v>
      </c>
      <c r="AY42" t="str">
        <f t="shared" ref="AY42:BJ57" si="8">IF(MID(V42,2,1)=",",_xlfn.TEXTJOIN(".",FALSE,MID(V42,1,1),MID(V42,3,LEN(V42)-2)),IF(MID(V42,3,1)=",",_xlfn.TEXTJOIN(".",FALSE,MID(V42,1,2),MID(V42,4,LEN(V42)-3)),IF(MID(V42,4,1)=",",_xlfn.TEXTJOIN(".",FALSE,MID(V42,1,3),MID(V42,5,LEN(V42)-4)),IF(MID(V42,5,1)=",",_xlfn.TEXTJOIN(".",FALSE,MID(V42,1,4),MID(V42,6,LEN(V42)-5)),V42))))</f>
        <v>20.99330992</v>
      </c>
      <c r="AZ42">
        <f t="shared" si="8"/>
        <v>24</v>
      </c>
      <c r="BA42" t="str">
        <f t="shared" si="8"/>
        <v>3.993749235</v>
      </c>
      <c r="BB42">
        <f t="shared" si="8"/>
        <v>20</v>
      </c>
      <c r="BC42">
        <f t="shared" si="8"/>
        <v>26</v>
      </c>
      <c r="BD42" t="str">
        <f t="shared" si="8"/>
        <v>0.613318648</v>
      </c>
      <c r="BE42" t="str">
        <f t="shared" si="8"/>
        <v>8.033321409</v>
      </c>
      <c r="BF42" t="str">
        <f t="shared" si="8"/>
        <v>1.92261619</v>
      </c>
      <c r="BG42" t="str">
        <f t="shared" si="8"/>
        <v>0.237679392</v>
      </c>
      <c r="BH42" t="str">
        <f t="shared" si="8"/>
        <v>0.924961242</v>
      </c>
      <c r="BI42" t="str">
        <f t="shared" si="8"/>
        <v>66.77921123</v>
      </c>
      <c r="BJ42" t="str">
        <f t="shared" si="8"/>
        <v>6.481584022</v>
      </c>
    </row>
    <row r="43" spans="1:62" x14ac:dyDescent="0.25">
      <c r="A43" s="3" t="s">
        <v>513</v>
      </c>
      <c r="B43" t="s">
        <v>444</v>
      </c>
      <c r="C43" t="s">
        <v>245</v>
      </c>
      <c r="D43" t="s">
        <v>283</v>
      </c>
      <c r="E43">
        <v>42</v>
      </c>
      <c r="F43">
        <v>2.1396869700000001</v>
      </c>
      <c r="G43">
        <v>14.1161548</v>
      </c>
      <c r="H43">
        <v>11.976467830000001</v>
      </c>
      <c r="I43">
        <v>318.78623140000002</v>
      </c>
      <c r="J43">
        <v>1753.8122060000001</v>
      </c>
      <c r="K43">
        <v>2094.1611109999999</v>
      </c>
      <c r="L43">
        <v>19.078770389999999</v>
      </c>
      <c r="M43">
        <v>318.78623140000002</v>
      </c>
      <c r="N43">
        <v>19.06406776</v>
      </c>
      <c r="O43">
        <v>200.41454899999999</v>
      </c>
      <c r="P43">
        <v>0.69708532700000003</v>
      </c>
      <c r="Q43">
        <v>0.99080221899999998</v>
      </c>
      <c r="R43">
        <v>0.54922952899999999</v>
      </c>
      <c r="S43">
        <v>1.314289303</v>
      </c>
      <c r="T43">
        <v>0.62979248899999996</v>
      </c>
      <c r="U43">
        <v>1.0487274419999999</v>
      </c>
      <c r="V43">
        <v>21.02535915</v>
      </c>
      <c r="W43">
        <v>24.0319365</v>
      </c>
      <c r="X43">
        <v>2.1989978880000001</v>
      </c>
      <c r="Y43">
        <v>20.003138119999999</v>
      </c>
      <c r="Z43">
        <v>26.023952380000001</v>
      </c>
      <c r="AA43">
        <v>0.64928202599999996</v>
      </c>
      <c r="AB43">
        <v>6.5352055289999997</v>
      </c>
      <c r="AC43">
        <v>1.7051965280000001</v>
      </c>
      <c r="AD43">
        <v>0.369291657</v>
      </c>
      <c r="AE43">
        <v>0.70289803200000001</v>
      </c>
      <c r="AF43">
        <v>70.539524909999997</v>
      </c>
      <c r="AG43">
        <v>8.2975481819999999</v>
      </c>
      <c r="AI43" t="str">
        <f t="shared" si="7"/>
        <v>2.13968697</v>
      </c>
      <c r="AJ43" t="str">
        <f t="shared" ref="AJ43:AX58" si="9">IF(MID(G43,2,1)=",",_xlfn.TEXTJOIN(".",FALSE,MID(G43,1,1),MID(G43,3,LEN(G43)-2)),IF(MID(G43,3,1)=",",_xlfn.TEXTJOIN(".",FALSE,MID(G43,1,2),MID(G43,4,LEN(G43)-3)),IF(MID(G43,4,1)=",",_xlfn.TEXTJOIN(".",FALSE,MID(G43,1,3),MID(G43,5,LEN(G43)-4)),IF(MID(G43,5,1)=",",_xlfn.TEXTJOIN(".",FALSE,MID(G43,1,4),MID(G43,6,LEN(G43)-5)),G43))))</f>
        <v>14.1161548</v>
      </c>
      <c r="AK43" t="str">
        <f t="shared" si="9"/>
        <v>11.97646783</v>
      </c>
      <c r="AL43" t="str">
        <f t="shared" si="9"/>
        <v>318.7862314</v>
      </c>
      <c r="AM43" t="str">
        <f t="shared" si="9"/>
        <v>1753.812206</v>
      </c>
      <c r="AN43" t="str">
        <f t="shared" si="9"/>
        <v>2094.161111</v>
      </c>
      <c r="AO43" t="str">
        <f t="shared" si="9"/>
        <v>19.07877039</v>
      </c>
      <c r="AP43" t="str">
        <f t="shared" si="9"/>
        <v>318.7862314</v>
      </c>
      <c r="AQ43" t="str">
        <f t="shared" si="9"/>
        <v>19.06406776</v>
      </c>
      <c r="AR43" t="str">
        <f t="shared" si="9"/>
        <v>200.414549</v>
      </c>
      <c r="AS43" t="str">
        <f t="shared" si="9"/>
        <v>0.697085327</v>
      </c>
      <c r="AT43" t="str">
        <f t="shared" si="9"/>
        <v>0.990802219</v>
      </c>
      <c r="AU43" t="str">
        <f t="shared" si="9"/>
        <v>0.549229529</v>
      </c>
      <c r="AV43" t="str">
        <f t="shared" si="9"/>
        <v>1.314289303</v>
      </c>
      <c r="AW43" t="str">
        <f t="shared" si="9"/>
        <v>0.629792489</v>
      </c>
      <c r="AX43" t="str">
        <f t="shared" si="9"/>
        <v>1.048727442</v>
      </c>
      <c r="AY43" t="str">
        <f t="shared" si="8"/>
        <v>21.02535915</v>
      </c>
      <c r="AZ43" t="str">
        <f t="shared" si="8"/>
        <v>24.0319365</v>
      </c>
      <c r="BA43" t="str">
        <f t="shared" si="8"/>
        <v>2.198997888</v>
      </c>
      <c r="BB43" t="str">
        <f t="shared" si="8"/>
        <v>20.00313812</v>
      </c>
      <c r="BC43" t="str">
        <f t="shared" si="8"/>
        <v>26.02395238</v>
      </c>
      <c r="BD43" t="str">
        <f t="shared" si="8"/>
        <v>0.649282026</v>
      </c>
      <c r="BE43" t="str">
        <f t="shared" si="8"/>
        <v>6.535205529</v>
      </c>
      <c r="BF43" t="str">
        <f t="shared" si="8"/>
        <v>1.705196528</v>
      </c>
      <c r="BG43" t="str">
        <f t="shared" si="8"/>
        <v>0.369291657</v>
      </c>
      <c r="BH43" t="str">
        <f t="shared" si="8"/>
        <v>0.702898032</v>
      </c>
      <c r="BI43" t="str">
        <f t="shared" si="8"/>
        <v>70.53952491</v>
      </c>
      <c r="BJ43" t="str">
        <f t="shared" si="8"/>
        <v>8.297548182</v>
      </c>
    </row>
    <row r="44" spans="1:62" x14ac:dyDescent="0.25">
      <c r="A44" s="3" t="s">
        <v>514</v>
      </c>
      <c r="B44" t="s">
        <v>445</v>
      </c>
      <c r="C44" t="s">
        <v>245</v>
      </c>
      <c r="D44" t="s">
        <v>284</v>
      </c>
      <c r="E44">
        <v>43</v>
      </c>
      <c r="F44">
        <v>7.7424775520000004</v>
      </c>
      <c r="G44">
        <v>18.857649290000001</v>
      </c>
      <c r="H44">
        <v>11.11517173</v>
      </c>
      <c r="I44">
        <v>253.51728919999999</v>
      </c>
      <c r="J44">
        <v>2424.6554759999999</v>
      </c>
      <c r="K44">
        <v>414.8931202</v>
      </c>
      <c r="L44">
        <v>12.742833559999999</v>
      </c>
      <c r="M44">
        <v>253.51728919999999</v>
      </c>
      <c r="N44">
        <v>12.59890088</v>
      </c>
      <c r="O44">
        <v>280.62814070000002</v>
      </c>
      <c r="P44">
        <v>0.72603015100000001</v>
      </c>
      <c r="Q44">
        <v>0.95890452299999995</v>
      </c>
      <c r="R44">
        <v>0.54825740499999998</v>
      </c>
      <c r="S44">
        <v>1.6629145729999999</v>
      </c>
      <c r="T44">
        <v>0.98470351700000003</v>
      </c>
      <c r="U44">
        <v>1.0919004210000001</v>
      </c>
      <c r="V44">
        <v>20.969849249999999</v>
      </c>
      <c r="W44">
        <v>24</v>
      </c>
      <c r="X44">
        <v>3.991959799</v>
      </c>
      <c r="Y44">
        <v>19.997989950000001</v>
      </c>
      <c r="Z44">
        <v>26</v>
      </c>
      <c r="AA44">
        <v>0.65125628099999999</v>
      </c>
      <c r="AB44">
        <v>11.6620603</v>
      </c>
      <c r="AC44">
        <v>2.1231155780000002</v>
      </c>
      <c r="AD44">
        <v>0.342914838</v>
      </c>
      <c r="AE44">
        <v>0.84303730899999996</v>
      </c>
      <c r="AF44">
        <v>71.856429660000003</v>
      </c>
      <c r="AG44">
        <v>9.5634914240000004</v>
      </c>
      <c r="AI44" t="str">
        <f t="shared" si="7"/>
        <v>7.742477552</v>
      </c>
      <c r="AJ44" t="str">
        <f t="shared" si="9"/>
        <v>18.85764929</v>
      </c>
      <c r="AK44" t="str">
        <f t="shared" si="9"/>
        <v>11.11517173</v>
      </c>
      <c r="AL44" t="str">
        <f t="shared" si="9"/>
        <v>253.5172892</v>
      </c>
      <c r="AM44" t="str">
        <f t="shared" si="9"/>
        <v>2424.655476</v>
      </c>
      <c r="AN44" t="str">
        <f t="shared" si="9"/>
        <v>414.8931202</v>
      </c>
      <c r="AO44" t="str">
        <f t="shared" si="9"/>
        <v>12.74283356</v>
      </c>
      <c r="AP44" t="str">
        <f t="shared" si="9"/>
        <v>253.5172892</v>
      </c>
      <c r="AQ44" t="str">
        <f t="shared" si="9"/>
        <v>12.59890088</v>
      </c>
      <c r="AR44" t="str">
        <f t="shared" si="9"/>
        <v>280.6281407</v>
      </c>
      <c r="AS44" t="str">
        <f t="shared" si="9"/>
        <v>0.726030151</v>
      </c>
      <c r="AT44" t="str">
        <f t="shared" si="9"/>
        <v>0.958904523</v>
      </c>
      <c r="AU44" t="str">
        <f t="shared" si="9"/>
        <v>0.548257405</v>
      </c>
      <c r="AV44" t="str">
        <f t="shared" si="9"/>
        <v>1.662914573</v>
      </c>
      <c r="AW44" t="str">
        <f t="shared" si="9"/>
        <v>0.984703517</v>
      </c>
      <c r="AX44" t="str">
        <f t="shared" si="9"/>
        <v>1.091900421</v>
      </c>
      <c r="AY44" t="str">
        <f t="shared" si="8"/>
        <v>20.96984925</v>
      </c>
      <c r="AZ44">
        <f t="shared" si="8"/>
        <v>24</v>
      </c>
      <c r="BA44" t="str">
        <f t="shared" si="8"/>
        <v>3.991959799</v>
      </c>
      <c r="BB44" t="str">
        <f t="shared" si="8"/>
        <v>19.99798995</v>
      </c>
      <c r="BC44">
        <f t="shared" si="8"/>
        <v>26</v>
      </c>
      <c r="BD44" t="str">
        <f t="shared" si="8"/>
        <v>0.651256281</v>
      </c>
      <c r="BE44" t="str">
        <f t="shared" si="8"/>
        <v>11.6620603</v>
      </c>
      <c r="BF44" t="str">
        <f t="shared" si="8"/>
        <v>2.123115578</v>
      </c>
      <c r="BG44" t="str">
        <f t="shared" si="8"/>
        <v>0.342914838</v>
      </c>
      <c r="BH44" t="str">
        <f t="shared" si="8"/>
        <v>0.843037309</v>
      </c>
      <c r="BI44" t="str">
        <f t="shared" si="8"/>
        <v>71.85642966</v>
      </c>
      <c r="BJ44" t="str">
        <f t="shared" si="8"/>
        <v>9.563491424</v>
      </c>
    </row>
    <row r="45" spans="1:62" x14ac:dyDescent="0.25">
      <c r="A45" s="3" t="s">
        <v>515</v>
      </c>
      <c r="B45" t="s">
        <v>446</v>
      </c>
      <c r="C45" t="s">
        <v>245</v>
      </c>
      <c r="D45" t="s">
        <v>285</v>
      </c>
      <c r="E45">
        <v>44</v>
      </c>
      <c r="F45">
        <v>7.7424775520000004</v>
      </c>
      <c r="G45">
        <v>18.857649290000001</v>
      </c>
      <c r="H45">
        <v>11.11517173</v>
      </c>
      <c r="I45">
        <v>253.51728919999999</v>
      </c>
      <c r="J45">
        <v>2424.6554759999999</v>
      </c>
      <c r="K45">
        <v>414.8931202</v>
      </c>
      <c r="L45">
        <v>12.742833559999999</v>
      </c>
      <c r="M45">
        <v>253.51728919999999</v>
      </c>
      <c r="N45">
        <v>12.59890088</v>
      </c>
      <c r="O45">
        <v>280.62814070000002</v>
      </c>
      <c r="P45">
        <v>0.72603015100000001</v>
      </c>
      <c r="Q45">
        <v>0.95890452299999995</v>
      </c>
      <c r="R45">
        <v>0.54825740499999998</v>
      </c>
      <c r="S45">
        <v>1.6629145729999999</v>
      </c>
      <c r="T45">
        <v>0.98470351700000003</v>
      </c>
      <c r="U45">
        <v>1.0919004210000001</v>
      </c>
      <c r="V45">
        <v>20.969849249999999</v>
      </c>
      <c r="W45">
        <v>24</v>
      </c>
      <c r="X45">
        <v>3.991959799</v>
      </c>
      <c r="Y45">
        <v>19.997989950000001</v>
      </c>
      <c r="Z45">
        <v>26</v>
      </c>
      <c r="AA45">
        <v>0.65125628099999999</v>
      </c>
      <c r="AB45">
        <v>11.6620603</v>
      </c>
      <c r="AC45">
        <v>2.1231155780000002</v>
      </c>
      <c r="AD45">
        <v>0.342914838</v>
      </c>
      <c r="AE45">
        <v>0.84303730899999996</v>
      </c>
      <c r="AF45">
        <v>71.856429660000003</v>
      </c>
      <c r="AG45">
        <v>9.5634914240000004</v>
      </c>
      <c r="AI45" t="str">
        <f t="shared" si="7"/>
        <v>7.742477552</v>
      </c>
      <c r="AJ45" t="str">
        <f t="shared" si="9"/>
        <v>18.85764929</v>
      </c>
      <c r="AK45" t="str">
        <f t="shared" si="9"/>
        <v>11.11517173</v>
      </c>
      <c r="AL45" t="str">
        <f t="shared" si="9"/>
        <v>253.5172892</v>
      </c>
      <c r="AM45" t="str">
        <f t="shared" si="9"/>
        <v>2424.655476</v>
      </c>
      <c r="AN45" t="str">
        <f t="shared" si="9"/>
        <v>414.8931202</v>
      </c>
      <c r="AO45" t="str">
        <f t="shared" si="9"/>
        <v>12.74283356</v>
      </c>
      <c r="AP45" t="str">
        <f t="shared" si="9"/>
        <v>253.5172892</v>
      </c>
      <c r="AQ45" t="str">
        <f t="shared" si="9"/>
        <v>12.59890088</v>
      </c>
      <c r="AR45" t="str">
        <f t="shared" si="9"/>
        <v>280.6281407</v>
      </c>
      <c r="AS45" t="str">
        <f t="shared" si="9"/>
        <v>0.726030151</v>
      </c>
      <c r="AT45" t="str">
        <f t="shared" si="9"/>
        <v>0.958904523</v>
      </c>
      <c r="AU45" t="str">
        <f t="shared" si="9"/>
        <v>0.548257405</v>
      </c>
      <c r="AV45" t="str">
        <f t="shared" si="9"/>
        <v>1.662914573</v>
      </c>
      <c r="AW45" t="str">
        <f t="shared" si="9"/>
        <v>0.984703517</v>
      </c>
      <c r="AX45" t="str">
        <f t="shared" si="9"/>
        <v>1.091900421</v>
      </c>
      <c r="AY45" t="str">
        <f t="shared" si="8"/>
        <v>20.96984925</v>
      </c>
      <c r="AZ45">
        <f t="shared" si="8"/>
        <v>24</v>
      </c>
      <c r="BA45" t="str">
        <f t="shared" si="8"/>
        <v>3.991959799</v>
      </c>
      <c r="BB45" t="str">
        <f t="shared" si="8"/>
        <v>19.99798995</v>
      </c>
      <c r="BC45">
        <f t="shared" si="8"/>
        <v>26</v>
      </c>
      <c r="BD45" t="str">
        <f t="shared" si="8"/>
        <v>0.651256281</v>
      </c>
      <c r="BE45" t="str">
        <f t="shared" si="8"/>
        <v>11.6620603</v>
      </c>
      <c r="BF45" t="str">
        <f t="shared" si="8"/>
        <v>2.123115578</v>
      </c>
      <c r="BG45" t="str">
        <f t="shared" si="8"/>
        <v>0.342914838</v>
      </c>
      <c r="BH45" t="str">
        <f t="shared" si="8"/>
        <v>0.843037309</v>
      </c>
      <c r="BI45" t="str">
        <f t="shared" si="8"/>
        <v>71.85642966</v>
      </c>
      <c r="BJ45" t="str">
        <f t="shared" si="8"/>
        <v>9.563491424</v>
      </c>
    </row>
    <row r="46" spans="1:62" x14ac:dyDescent="0.25">
      <c r="A46" s="3" t="s">
        <v>187</v>
      </c>
      <c r="B46" t="s">
        <v>447</v>
      </c>
      <c r="C46" t="s">
        <v>8</v>
      </c>
      <c r="D46" s="26"/>
      <c r="E46">
        <v>45</v>
      </c>
      <c r="F46">
        <v>8.0865656050000005</v>
      </c>
      <c r="G46">
        <v>18.792598999999999</v>
      </c>
      <c r="H46">
        <v>10.706033400000001</v>
      </c>
      <c r="I46">
        <v>255.53029459999999</v>
      </c>
      <c r="J46">
        <v>2375.8002150000002</v>
      </c>
      <c r="K46">
        <v>375.87511760000001</v>
      </c>
      <c r="L46">
        <v>13.75435469</v>
      </c>
      <c r="M46">
        <v>265.52614790000001</v>
      </c>
      <c r="N46">
        <v>13.698655110000001</v>
      </c>
      <c r="O46">
        <v>265.33742330000001</v>
      </c>
      <c r="P46">
        <v>0.68977505100000003</v>
      </c>
      <c r="Q46">
        <v>0.95356850699999995</v>
      </c>
      <c r="R46">
        <v>0.506542559</v>
      </c>
      <c r="S46">
        <v>1.695756646</v>
      </c>
      <c r="T46">
        <v>0.970614902</v>
      </c>
      <c r="U46">
        <v>1.1743791969999999</v>
      </c>
      <c r="V46">
        <v>20.971370140000001</v>
      </c>
      <c r="W46">
        <v>24</v>
      </c>
      <c r="X46">
        <v>4</v>
      </c>
      <c r="Y46">
        <v>19.985685069999999</v>
      </c>
      <c r="Z46">
        <v>26</v>
      </c>
      <c r="AA46">
        <v>0.74948875299999995</v>
      </c>
      <c r="AB46">
        <v>8.6167177909999992</v>
      </c>
      <c r="AC46">
        <v>1.92305726</v>
      </c>
      <c r="AD46">
        <v>0.30197684200000002</v>
      </c>
      <c r="AE46">
        <v>0.89447337400000004</v>
      </c>
      <c r="AF46">
        <v>70.963501579999999</v>
      </c>
      <c r="AG46">
        <v>5.2434578299999997</v>
      </c>
      <c r="AI46" t="str">
        <f t="shared" si="7"/>
        <v>8.086565605</v>
      </c>
      <c r="AJ46" t="str">
        <f t="shared" si="9"/>
        <v>18.792599</v>
      </c>
      <c r="AK46" t="str">
        <f t="shared" si="9"/>
        <v>10.7060334</v>
      </c>
      <c r="AL46" t="str">
        <f t="shared" si="9"/>
        <v>255.5302946</v>
      </c>
      <c r="AM46" t="str">
        <f t="shared" si="9"/>
        <v>2375.800215</v>
      </c>
      <c r="AN46" t="str">
        <f t="shared" si="9"/>
        <v>375.8751176</v>
      </c>
      <c r="AO46" t="str">
        <f t="shared" si="9"/>
        <v>13.75435469</v>
      </c>
      <c r="AP46" t="str">
        <f t="shared" si="9"/>
        <v>265.5261479</v>
      </c>
      <c r="AQ46" t="str">
        <f t="shared" si="9"/>
        <v>13.69865511</v>
      </c>
      <c r="AR46" t="str">
        <f t="shared" si="9"/>
        <v>265.3374233</v>
      </c>
      <c r="AS46" t="str">
        <f t="shared" si="9"/>
        <v>0.689775051</v>
      </c>
      <c r="AT46" t="str">
        <f t="shared" si="9"/>
        <v>0.953568507</v>
      </c>
      <c r="AU46" t="str">
        <f t="shared" si="9"/>
        <v>0.506542559</v>
      </c>
      <c r="AV46" t="str">
        <f t="shared" si="9"/>
        <v>1.695756646</v>
      </c>
      <c r="AW46" t="str">
        <f t="shared" si="9"/>
        <v>0.970614902</v>
      </c>
      <c r="AX46" t="str">
        <f t="shared" si="9"/>
        <v>1.174379197</v>
      </c>
      <c r="AY46" t="str">
        <f t="shared" si="8"/>
        <v>20.97137014</v>
      </c>
      <c r="AZ46">
        <f t="shared" si="8"/>
        <v>24</v>
      </c>
      <c r="BA46">
        <f t="shared" si="8"/>
        <v>4</v>
      </c>
      <c r="BB46" t="str">
        <f t="shared" si="8"/>
        <v>19.98568507</v>
      </c>
      <c r="BC46">
        <f t="shared" si="8"/>
        <v>26</v>
      </c>
      <c r="BD46" t="str">
        <f t="shared" si="8"/>
        <v>0.749488753</v>
      </c>
      <c r="BE46" t="str">
        <f t="shared" si="8"/>
        <v>8.616717791</v>
      </c>
      <c r="BF46" t="str">
        <f t="shared" si="8"/>
        <v>1.92305726</v>
      </c>
      <c r="BG46" t="str">
        <f t="shared" si="8"/>
        <v>0.301976842</v>
      </c>
      <c r="BH46" t="str">
        <f t="shared" si="8"/>
        <v>0.894473374</v>
      </c>
      <c r="BI46" t="str">
        <f t="shared" si="8"/>
        <v>70.96350158</v>
      </c>
      <c r="BJ46" t="str">
        <f t="shared" si="8"/>
        <v>5.24345783</v>
      </c>
    </row>
    <row r="47" spans="1:62" x14ac:dyDescent="0.25">
      <c r="A47" s="3" t="s">
        <v>516</v>
      </c>
      <c r="B47" t="s">
        <v>448</v>
      </c>
      <c r="C47" t="s">
        <v>8</v>
      </c>
      <c r="D47" t="s">
        <v>286</v>
      </c>
      <c r="E47">
        <v>46</v>
      </c>
      <c r="F47">
        <v>7.4870600349999998</v>
      </c>
      <c r="G47">
        <v>18.90352562</v>
      </c>
      <c r="H47">
        <v>11.41646559</v>
      </c>
      <c r="I47">
        <v>272.38330430000002</v>
      </c>
      <c r="J47">
        <v>2738.9913150000002</v>
      </c>
      <c r="K47">
        <v>386.57111570000001</v>
      </c>
      <c r="L47">
        <v>13.42908184</v>
      </c>
      <c r="M47">
        <v>272.68491990000001</v>
      </c>
      <c r="N47">
        <v>13.398377310000001</v>
      </c>
      <c r="O47">
        <v>274.3256743</v>
      </c>
      <c r="P47">
        <v>0.72127872100000001</v>
      </c>
      <c r="Q47">
        <v>0.95305694299999999</v>
      </c>
      <c r="R47">
        <v>0.45795871799999999</v>
      </c>
      <c r="S47">
        <v>1.33966034</v>
      </c>
      <c r="T47">
        <v>0.95920517699999996</v>
      </c>
      <c r="U47">
        <v>1.3534672679999999</v>
      </c>
      <c r="V47">
        <v>20.994005990000002</v>
      </c>
      <c r="W47">
        <v>24</v>
      </c>
      <c r="X47">
        <v>4</v>
      </c>
      <c r="Y47">
        <v>19.982017979999998</v>
      </c>
      <c r="Z47">
        <v>26</v>
      </c>
      <c r="AA47">
        <v>0.62437562400000002</v>
      </c>
      <c r="AB47">
        <v>4.2868631370000001</v>
      </c>
      <c r="AC47">
        <v>1.6196303700000001</v>
      </c>
      <c r="AD47">
        <v>0.24853781999999999</v>
      </c>
      <c r="AE47">
        <v>0.93438876900000001</v>
      </c>
      <c r="AF47">
        <v>70.190926349999998</v>
      </c>
      <c r="AG47">
        <v>1.5401950200000001</v>
      </c>
      <c r="AI47" t="str">
        <f t="shared" si="7"/>
        <v>7.487060035</v>
      </c>
      <c r="AJ47" t="str">
        <f t="shared" si="9"/>
        <v>18.90352562</v>
      </c>
      <c r="AK47" t="str">
        <f t="shared" si="9"/>
        <v>11.41646559</v>
      </c>
      <c r="AL47" t="str">
        <f t="shared" si="9"/>
        <v>272.3833043</v>
      </c>
      <c r="AM47" t="str">
        <f t="shared" si="9"/>
        <v>2738.991315</v>
      </c>
      <c r="AN47" t="str">
        <f t="shared" si="9"/>
        <v>386.5711157</v>
      </c>
      <c r="AO47" t="str">
        <f t="shared" si="9"/>
        <v>13.42908184</v>
      </c>
      <c r="AP47" t="str">
        <f t="shared" si="9"/>
        <v>272.6849199</v>
      </c>
      <c r="AQ47" t="str">
        <f t="shared" si="9"/>
        <v>13.39837731</v>
      </c>
      <c r="AR47" t="str">
        <f t="shared" si="9"/>
        <v>274.3256743</v>
      </c>
      <c r="AS47" t="str">
        <f t="shared" si="9"/>
        <v>0.721278721</v>
      </c>
      <c r="AT47" t="str">
        <f t="shared" si="9"/>
        <v>0.953056943</v>
      </c>
      <c r="AU47" t="str">
        <f t="shared" si="9"/>
        <v>0.457958718</v>
      </c>
      <c r="AV47" t="str">
        <f t="shared" si="9"/>
        <v>1.33966034</v>
      </c>
      <c r="AW47" t="str">
        <f t="shared" si="9"/>
        <v>0.959205177</v>
      </c>
      <c r="AX47" t="str">
        <f t="shared" si="9"/>
        <v>1.353467268</v>
      </c>
      <c r="AY47" t="str">
        <f t="shared" si="8"/>
        <v>20.99400599</v>
      </c>
      <c r="AZ47">
        <f t="shared" si="8"/>
        <v>24</v>
      </c>
      <c r="BA47">
        <f t="shared" si="8"/>
        <v>4</v>
      </c>
      <c r="BB47" t="str">
        <f t="shared" si="8"/>
        <v>19.98201798</v>
      </c>
      <c r="BC47">
        <f t="shared" si="8"/>
        <v>26</v>
      </c>
      <c r="BD47" t="str">
        <f t="shared" si="8"/>
        <v>0.624375624</v>
      </c>
      <c r="BE47" t="str">
        <f t="shared" si="8"/>
        <v>4.286863137</v>
      </c>
      <c r="BF47" t="str">
        <f t="shared" si="8"/>
        <v>1.61963037</v>
      </c>
      <c r="BG47" t="str">
        <f t="shared" si="8"/>
        <v>0.24853782</v>
      </c>
      <c r="BH47" t="str">
        <f t="shared" si="8"/>
        <v>0.934388769</v>
      </c>
      <c r="BI47" t="str">
        <f t="shared" si="8"/>
        <v>70.19092635</v>
      </c>
      <c r="BJ47" t="str">
        <f t="shared" si="8"/>
        <v>1.54019502</v>
      </c>
    </row>
    <row r="48" spans="1:62" x14ac:dyDescent="0.25">
      <c r="A48" s="3" t="s">
        <v>517</v>
      </c>
      <c r="B48" t="s">
        <v>449</v>
      </c>
      <c r="C48" t="s">
        <v>8</v>
      </c>
      <c r="D48" t="s">
        <v>287</v>
      </c>
      <c r="E48">
        <v>47</v>
      </c>
      <c r="F48">
        <v>7.4870600349999998</v>
      </c>
      <c r="G48">
        <v>18.90352562</v>
      </c>
      <c r="H48">
        <v>11.41646559</v>
      </c>
      <c r="I48">
        <v>272.38330430000002</v>
      </c>
      <c r="J48">
        <v>2738.9913150000002</v>
      </c>
      <c r="K48">
        <v>386.57111570000001</v>
      </c>
      <c r="L48">
        <v>13.42908184</v>
      </c>
      <c r="M48">
        <v>272.68491990000001</v>
      </c>
      <c r="N48">
        <v>13.398377310000001</v>
      </c>
      <c r="O48">
        <v>274.3256743</v>
      </c>
      <c r="P48">
        <v>0.72127872100000001</v>
      </c>
      <c r="Q48">
        <v>0.95305694299999999</v>
      </c>
      <c r="R48">
        <v>0.45795871799999999</v>
      </c>
      <c r="S48">
        <v>1.33966034</v>
      </c>
      <c r="T48">
        <v>0.95920517699999996</v>
      </c>
      <c r="U48">
        <v>1.3534672679999999</v>
      </c>
      <c r="V48">
        <v>20.994005990000002</v>
      </c>
      <c r="W48">
        <v>24</v>
      </c>
      <c r="X48">
        <v>4</v>
      </c>
      <c r="Y48">
        <v>19.982017979999998</v>
      </c>
      <c r="Z48">
        <v>26</v>
      </c>
      <c r="AA48">
        <v>0.62437562400000002</v>
      </c>
      <c r="AB48">
        <v>4.2868631370000001</v>
      </c>
      <c r="AC48">
        <v>1.6196303700000001</v>
      </c>
      <c r="AD48">
        <v>0.24853781999999999</v>
      </c>
      <c r="AE48">
        <v>0.93438876900000001</v>
      </c>
      <c r="AF48">
        <v>70.190926349999998</v>
      </c>
      <c r="AG48">
        <v>1.5401950200000001</v>
      </c>
      <c r="AI48" t="str">
        <f t="shared" si="7"/>
        <v>7.487060035</v>
      </c>
      <c r="AJ48" t="str">
        <f t="shared" si="9"/>
        <v>18.90352562</v>
      </c>
      <c r="AK48" t="str">
        <f t="shared" si="9"/>
        <v>11.41646559</v>
      </c>
      <c r="AL48" t="str">
        <f t="shared" si="9"/>
        <v>272.3833043</v>
      </c>
      <c r="AM48" t="str">
        <f t="shared" si="9"/>
        <v>2738.991315</v>
      </c>
      <c r="AN48" t="str">
        <f t="shared" si="9"/>
        <v>386.5711157</v>
      </c>
      <c r="AO48" t="str">
        <f t="shared" si="9"/>
        <v>13.42908184</v>
      </c>
      <c r="AP48" t="str">
        <f t="shared" si="9"/>
        <v>272.6849199</v>
      </c>
      <c r="AQ48" t="str">
        <f t="shared" si="9"/>
        <v>13.39837731</v>
      </c>
      <c r="AR48" t="str">
        <f t="shared" si="9"/>
        <v>274.3256743</v>
      </c>
      <c r="AS48" t="str">
        <f t="shared" si="9"/>
        <v>0.721278721</v>
      </c>
      <c r="AT48" t="str">
        <f t="shared" si="9"/>
        <v>0.953056943</v>
      </c>
      <c r="AU48" t="str">
        <f t="shared" si="9"/>
        <v>0.457958718</v>
      </c>
      <c r="AV48" t="str">
        <f t="shared" si="9"/>
        <v>1.33966034</v>
      </c>
      <c r="AW48" t="str">
        <f t="shared" si="9"/>
        <v>0.959205177</v>
      </c>
      <c r="AX48" t="str">
        <f t="shared" si="9"/>
        <v>1.353467268</v>
      </c>
      <c r="AY48" t="str">
        <f t="shared" si="8"/>
        <v>20.99400599</v>
      </c>
      <c r="AZ48">
        <f t="shared" si="8"/>
        <v>24</v>
      </c>
      <c r="BA48">
        <f t="shared" si="8"/>
        <v>4</v>
      </c>
      <c r="BB48" t="str">
        <f t="shared" si="8"/>
        <v>19.98201798</v>
      </c>
      <c r="BC48">
        <f t="shared" si="8"/>
        <v>26</v>
      </c>
      <c r="BD48" t="str">
        <f t="shared" si="8"/>
        <v>0.624375624</v>
      </c>
      <c r="BE48" t="str">
        <f t="shared" si="8"/>
        <v>4.286863137</v>
      </c>
      <c r="BF48" t="str">
        <f t="shared" si="8"/>
        <v>1.61963037</v>
      </c>
      <c r="BG48" t="str">
        <f t="shared" si="8"/>
        <v>0.24853782</v>
      </c>
      <c r="BH48" t="str">
        <f t="shared" si="8"/>
        <v>0.934388769</v>
      </c>
      <c r="BI48" t="str">
        <f t="shared" si="8"/>
        <v>70.19092635</v>
      </c>
      <c r="BJ48" t="str">
        <f t="shared" si="8"/>
        <v>1.54019502</v>
      </c>
    </row>
    <row r="49" spans="1:62" x14ac:dyDescent="0.25">
      <c r="A49" s="3" t="s">
        <v>518</v>
      </c>
      <c r="B49" t="s">
        <v>450</v>
      </c>
      <c r="C49" t="s">
        <v>8</v>
      </c>
      <c r="D49" t="s">
        <v>288</v>
      </c>
      <c r="E49">
        <v>48</v>
      </c>
      <c r="F49">
        <v>8.0125376379999995</v>
      </c>
      <c r="G49">
        <v>18.530367269999999</v>
      </c>
      <c r="H49">
        <v>10.51782963</v>
      </c>
      <c r="I49">
        <v>259.09905240000001</v>
      </c>
      <c r="J49">
        <v>2334.9684600000001</v>
      </c>
      <c r="K49">
        <v>457.88906459999998</v>
      </c>
      <c r="L49">
        <v>17.328784729999999</v>
      </c>
      <c r="M49">
        <v>295.69485709999998</v>
      </c>
      <c r="N49">
        <v>17.328784729999999</v>
      </c>
      <c r="O49">
        <v>220.3815261</v>
      </c>
      <c r="P49">
        <v>0.712048193</v>
      </c>
      <c r="Q49">
        <v>0.93349397599999995</v>
      </c>
      <c r="R49">
        <v>0.40791532800000002</v>
      </c>
      <c r="S49">
        <v>1.700903614</v>
      </c>
      <c r="T49">
        <v>0.95240430600000003</v>
      </c>
      <c r="U49">
        <v>1.1669630719999999</v>
      </c>
      <c r="V49">
        <v>20.899598390000001</v>
      </c>
      <c r="W49">
        <v>24.020080320000002</v>
      </c>
      <c r="X49">
        <v>3.9397590359999999</v>
      </c>
      <c r="Y49">
        <v>19.899598390000001</v>
      </c>
      <c r="Z49">
        <v>26.020080320000002</v>
      </c>
      <c r="AA49">
        <v>1.107429719</v>
      </c>
      <c r="AB49">
        <v>4.6100401609999997</v>
      </c>
      <c r="AC49">
        <v>1.7911646590000001</v>
      </c>
      <c r="AD49">
        <v>0.32242273500000002</v>
      </c>
      <c r="AE49">
        <v>0.93391103799999997</v>
      </c>
      <c r="AF49">
        <v>70.090972019999995</v>
      </c>
      <c r="AG49">
        <v>2.1399189160000001</v>
      </c>
      <c r="AI49" t="str">
        <f t="shared" si="7"/>
        <v>8.012537638</v>
      </c>
      <c r="AJ49" t="str">
        <f t="shared" si="9"/>
        <v>18.53036727</v>
      </c>
      <c r="AK49" t="str">
        <f t="shared" si="9"/>
        <v>10.51782963</v>
      </c>
      <c r="AL49" t="str">
        <f t="shared" si="9"/>
        <v>259.0990524</v>
      </c>
      <c r="AM49" t="str">
        <f t="shared" si="9"/>
        <v>2334.96846</v>
      </c>
      <c r="AN49" t="str">
        <f t="shared" si="9"/>
        <v>457.8890646</v>
      </c>
      <c r="AO49" t="str">
        <f t="shared" si="9"/>
        <v>17.32878473</v>
      </c>
      <c r="AP49" t="str">
        <f t="shared" si="9"/>
        <v>295.6948571</v>
      </c>
      <c r="AQ49" t="str">
        <f t="shared" si="9"/>
        <v>17.32878473</v>
      </c>
      <c r="AR49" t="str">
        <f t="shared" si="9"/>
        <v>220.3815261</v>
      </c>
      <c r="AS49" t="str">
        <f t="shared" si="9"/>
        <v>0.712048193</v>
      </c>
      <c r="AT49" t="str">
        <f t="shared" si="9"/>
        <v>0.933493976</v>
      </c>
      <c r="AU49" t="str">
        <f t="shared" si="9"/>
        <v>0.407915328</v>
      </c>
      <c r="AV49" t="str">
        <f t="shared" si="9"/>
        <v>1.700903614</v>
      </c>
      <c r="AW49" t="str">
        <f t="shared" si="9"/>
        <v>0.952404306</v>
      </c>
      <c r="AX49" t="str">
        <f t="shared" si="9"/>
        <v>1.166963072</v>
      </c>
      <c r="AY49" t="str">
        <f t="shared" si="8"/>
        <v>20.89959839</v>
      </c>
      <c r="AZ49" t="str">
        <f t="shared" si="8"/>
        <v>24.02008032</v>
      </c>
      <c r="BA49" t="str">
        <f t="shared" si="8"/>
        <v>3.939759036</v>
      </c>
      <c r="BB49" t="str">
        <f t="shared" si="8"/>
        <v>19.89959839</v>
      </c>
      <c r="BC49" t="str">
        <f t="shared" si="8"/>
        <v>26.02008032</v>
      </c>
      <c r="BD49" t="str">
        <f t="shared" si="8"/>
        <v>1.107429719</v>
      </c>
      <c r="BE49" t="str">
        <f t="shared" si="8"/>
        <v>4.610040161</v>
      </c>
      <c r="BF49" t="str">
        <f t="shared" si="8"/>
        <v>1.791164659</v>
      </c>
      <c r="BG49" t="str">
        <f t="shared" si="8"/>
        <v>0.322422735</v>
      </c>
      <c r="BH49" t="str">
        <f t="shared" si="8"/>
        <v>0.933911038</v>
      </c>
      <c r="BI49" t="str">
        <f t="shared" si="8"/>
        <v>70.09097202</v>
      </c>
      <c r="BJ49" t="str">
        <f t="shared" si="8"/>
        <v>2.139918916</v>
      </c>
    </row>
    <row r="50" spans="1:62" x14ac:dyDescent="0.25">
      <c r="A50" s="3" t="s">
        <v>519</v>
      </c>
      <c r="B50" t="s">
        <v>451</v>
      </c>
      <c r="C50" t="s">
        <v>8</v>
      </c>
      <c r="D50" t="s">
        <v>289</v>
      </c>
      <c r="E50">
        <v>49</v>
      </c>
      <c r="F50">
        <v>8.3209264229999995</v>
      </c>
      <c r="G50">
        <v>19.021609260000002</v>
      </c>
      <c r="H50">
        <v>10.700682840000001</v>
      </c>
      <c r="I50">
        <v>252.44535550000001</v>
      </c>
      <c r="J50">
        <v>2289.3095520000002</v>
      </c>
      <c r="K50">
        <v>425.805498</v>
      </c>
      <c r="L50">
        <v>11.9894789</v>
      </c>
      <c r="M50">
        <v>252.44535550000001</v>
      </c>
      <c r="N50">
        <v>11.92327966</v>
      </c>
      <c r="O50">
        <v>283.55922149999998</v>
      </c>
      <c r="P50">
        <v>0.63753381899999995</v>
      </c>
      <c r="Q50">
        <v>0.964860053</v>
      </c>
      <c r="R50">
        <v>0.56343554900000004</v>
      </c>
      <c r="S50">
        <v>1.8617377209999999</v>
      </c>
      <c r="T50">
        <v>0.96337485899999997</v>
      </c>
      <c r="U50">
        <v>1.1762170110000001</v>
      </c>
      <c r="V50">
        <v>20.95665322</v>
      </c>
      <c r="W50">
        <v>24.012136649999999</v>
      </c>
      <c r="X50">
        <v>3.998979394</v>
      </c>
      <c r="Y50">
        <v>19.967134510000001</v>
      </c>
      <c r="Z50">
        <v>26.012136649999999</v>
      </c>
      <c r="AA50">
        <v>0.59068859100000004</v>
      </c>
      <c r="AB50">
        <v>11.035283570000001</v>
      </c>
      <c r="AC50">
        <v>1.992074849</v>
      </c>
      <c r="AD50">
        <v>0.27804668900000001</v>
      </c>
      <c r="AE50">
        <v>0.88481019400000005</v>
      </c>
      <c r="AF50">
        <v>71.331876750000006</v>
      </c>
      <c r="AG50">
        <v>6.0397130160000003</v>
      </c>
      <c r="AI50" t="str">
        <f t="shared" si="7"/>
        <v>8.320926423</v>
      </c>
      <c r="AJ50" t="str">
        <f t="shared" si="9"/>
        <v>19.02160926</v>
      </c>
      <c r="AK50" t="str">
        <f t="shared" si="9"/>
        <v>10.70068284</v>
      </c>
      <c r="AL50" t="str">
        <f t="shared" si="9"/>
        <v>252.4453555</v>
      </c>
      <c r="AM50" t="str">
        <f t="shared" si="9"/>
        <v>2289.309552</v>
      </c>
      <c r="AN50" t="str">
        <f t="shared" si="9"/>
        <v>425.805498</v>
      </c>
      <c r="AO50" t="str">
        <f t="shared" si="9"/>
        <v>11.9894789</v>
      </c>
      <c r="AP50" t="str">
        <f t="shared" si="9"/>
        <v>252.4453555</v>
      </c>
      <c r="AQ50" t="str">
        <f t="shared" si="9"/>
        <v>11.92327966</v>
      </c>
      <c r="AR50" t="str">
        <f t="shared" si="9"/>
        <v>283.5592215</v>
      </c>
      <c r="AS50" t="str">
        <f t="shared" si="9"/>
        <v>0.637533819</v>
      </c>
      <c r="AT50" t="str">
        <f t="shared" si="9"/>
        <v>0.964860053</v>
      </c>
      <c r="AU50" t="str">
        <f t="shared" si="9"/>
        <v>0.563435549</v>
      </c>
      <c r="AV50" t="str">
        <f t="shared" si="9"/>
        <v>1.861737721</v>
      </c>
      <c r="AW50" t="str">
        <f t="shared" si="9"/>
        <v>0.963374859</v>
      </c>
      <c r="AX50" t="str">
        <f t="shared" si="9"/>
        <v>1.176217011</v>
      </c>
      <c r="AY50" t="str">
        <f t="shared" si="8"/>
        <v>20.95665322</v>
      </c>
      <c r="AZ50" t="str">
        <f t="shared" si="8"/>
        <v>24.01213665</v>
      </c>
      <c r="BA50" t="str">
        <f t="shared" si="8"/>
        <v>3.998979394</v>
      </c>
      <c r="BB50" t="str">
        <f t="shared" si="8"/>
        <v>19.96713451</v>
      </c>
      <c r="BC50" t="str">
        <f t="shared" si="8"/>
        <v>26.01213665</v>
      </c>
      <c r="BD50" t="str">
        <f t="shared" si="8"/>
        <v>0.590688591</v>
      </c>
      <c r="BE50" t="str">
        <f t="shared" si="8"/>
        <v>11.03528357</v>
      </c>
      <c r="BF50" t="str">
        <f t="shared" si="8"/>
        <v>1.992074849</v>
      </c>
      <c r="BG50" t="str">
        <f t="shared" si="8"/>
        <v>0.278046689</v>
      </c>
      <c r="BH50" t="str">
        <f t="shared" si="8"/>
        <v>0.884810194</v>
      </c>
      <c r="BI50" t="str">
        <f t="shared" si="8"/>
        <v>71.33187675</v>
      </c>
      <c r="BJ50" t="str">
        <f t="shared" si="8"/>
        <v>6.039713016</v>
      </c>
    </row>
    <row r="51" spans="1:62" x14ac:dyDescent="0.25">
      <c r="A51" s="3" t="s">
        <v>183</v>
      </c>
      <c r="B51" t="s">
        <v>452</v>
      </c>
      <c r="C51" t="s">
        <v>8</v>
      </c>
      <c r="D51" t="s">
        <v>9</v>
      </c>
      <c r="E51">
        <v>50</v>
      </c>
      <c r="F51">
        <v>7.7424775520000004</v>
      </c>
      <c r="G51">
        <v>18.857649290000001</v>
      </c>
      <c r="H51">
        <v>11.11517173</v>
      </c>
      <c r="I51">
        <v>253.51728919999999</v>
      </c>
      <c r="J51">
        <v>2424.6554759999999</v>
      </c>
      <c r="K51">
        <v>414.8931202</v>
      </c>
      <c r="L51">
        <v>12.742833559999999</v>
      </c>
      <c r="M51">
        <v>253.51728919999999</v>
      </c>
      <c r="N51">
        <v>12.59890088</v>
      </c>
      <c r="O51">
        <v>280.62814070000002</v>
      </c>
      <c r="P51">
        <v>0.72603015100000001</v>
      </c>
      <c r="Q51">
        <v>0.95890452299999995</v>
      </c>
      <c r="R51">
        <v>0.54825740499999998</v>
      </c>
      <c r="S51">
        <v>1.6629145729999999</v>
      </c>
      <c r="T51">
        <v>0.98470351700000003</v>
      </c>
      <c r="U51">
        <v>1.0919004210000001</v>
      </c>
      <c r="V51">
        <v>20.969849249999999</v>
      </c>
      <c r="W51">
        <v>24</v>
      </c>
      <c r="X51">
        <v>3.991959799</v>
      </c>
      <c r="Y51">
        <v>19.997989950000001</v>
      </c>
      <c r="Z51">
        <v>26</v>
      </c>
      <c r="AA51">
        <v>0.65125628099999999</v>
      </c>
      <c r="AB51">
        <v>11.6620603</v>
      </c>
      <c r="AC51">
        <v>2.1231155780000002</v>
      </c>
      <c r="AD51">
        <v>0.342914838</v>
      </c>
      <c r="AE51">
        <v>0.84303730899999996</v>
      </c>
      <c r="AF51">
        <v>71.856429660000003</v>
      </c>
      <c r="AG51">
        <v>9.5634914240000004</v>
      </c>
      <c r="AI51" t="str">
        <f t="shared" si="7"/>
        <v>7.742477552</v>
      </c>
      <c r="AJ51" t="str">
        <f t="shared" si="9"/>
        <v>18.85764929</v>
      </c>
      <c r="AK51" t="str">
        <f t="shared" si="9"/>
        <v>11.11517173</v>
      </c>
      <c r="AL51" t="str">
        <f t="shared" si="9"/>
        <v>253.5172892</v>
      </c>
      <c r="AM51" t="str">
        <f t="shared" si="9"/>
        <v>2424.655476</v>
      </c>
      <c r="AN51" t="str">
        <f t="shared" si="9"/>
        <v>414.8931202</v>
      </c>
      <c r="AO51" t="str">
        <f t="shared" si="9"/>
        <v>12.74283356</v>
      </c>
      <c r="AP51" t="str">
        <f t="shared" si="9"/>
        <v>253.5172892</v>
      </c>
      <c r="AQ51" t="str">
        <f t="shared" si="9"/>
        <v>12.59890088</v>
      </c>
      <c r="AR51" t="str">
        <f t="shared" si="9"/>
        <v>280.6281407</v>
      </c>
      <c r="AS51" t="str">
        <f t="shared" si="9"/>
        <v>0.726030151</v>
      </c>
      <c r="AT51" t="str">
        <f t="shared" si="9"/>
        <v>0.958904523</v>
      </c>
      <c r="AU51" t="str">
        <f t="shared" si="9"/>
        <v>0.548257405</v>
      </c>
      <c r="AV51" t="str">
        <f t="shared" si="9"/>
        <v>1.662914573</v>
      </c>
      <c r="AW51" t="str">
        <f t="shared" si="9"/>
        <v>0.984703517</v>
      </c>
      <c r="AX51" t="str">
        <f t="shared" si="9"/>
        <v>1.091900421</v>
      </c>
      <c r="AY51" t="str">
        <f t="shared" si="8"/>
        <v>20.96984925</v>
      </c>
      <c r="AZ51">
        <f t="shared" si="8"/>
        <v>24</v>
      </c>
      <c r="BA51" t="str">
        <f t="shared" si="8"/>
        <v>3.991959799</v>
      </c>
      <c r="BB51" t="str">
        <f t="shared" si="8"/>
        <v>19.99798995</v>
      </c>
      <c r="BC51">
        <f t="shared" si="8"/>
        <v>26</v>
      </c>
      <c r="BD51" t="str">
        <f t="shared" si="8"/>
        <v>0.651256281</v>
      </c>
      <c r="BE51" t="str">
        <f t="shared" si="8"/>
        <v>11.6620603</v>
      </c>
      <c r="BF51" t="str">
        <f t="shared" si="8"/>
        <v>2.123115578</v>
      </c>
      <c r="BG51" t="str">
        <f t="shared" si="8"/>
        <v>0.342914838</v>
      </c>
      <c r="BH51" t="str">
        <f t="shared" si="8"/>
        <v>0.843037309</v>
      </c>
      <c r="BI51" t="str">
        <f t="shared" si="8"/>
        <v>71.85642966</v>
      </c>
      <c r="BJ51" t="str">
        <f t="shared" si="8"/>
        <v>9.563491424</v>
      </c>
    </row>
    <row r="52" spans="1:62" x14ac:dyDescent="0.25">
      <c r="A52" s="3" t="s">
        <v>520</v>
      </c>
      <c r="B52" t="s">
        <v>453</v>
      </c>
      <c r="C52" t="s">
        <v>8</v>
      </c>
      <c r="D52" t="s">
        <v>10</v>
      </c>
      <c r="E52">
        <v>51</v>
      </c>
      <c r="F52">
        <v>7.7424775520000004</v>
      </c>
      <c r="G52">
        <v>18.857649290000001</v>
      </c>
      <c r="H52">
        <v>11.11517173</v>
      </c>
      <c r="I52">
        <v>253.51728919999999</v>
      </c>
      <c r="J52">
        <v>2424.6554759999999</v>
      </c>
      <c r="K52">
        <v>414.8931202</v>
      </c>
      <c r="L52">
        <v>12.742833559999999</v>
      </c>
      <c r="M52">
        <v>253.51728919999999</v>
      </c>
      <c r="N52">
        <v>12.59890088</v>
      </c>
      <c r="O52">
        <v>280.62814070000002</v>
      </c>
      <c r="P52">
        <v>0.72603015100000001</v>
      </c>
      <c r="Q52">
        <v>0.95890452299999995</v>
      </c>
      <c r="R52">
        <v>0.54825740499999998</v>
      </c>
      <c r="S52">
        <v>1.6629145729999999</v>
      </c>
      <c r="T52">
        <v>0.98470351700000003</v>
      </c>
      <c r="U52">
        <v>1.0919004210000001</v>
      </c>
      <c r="V52">
        <v>20.969849249999999</v>
      </c>
      <c r="W52">
        <v>24</v>
      </c>
      <c r="X52">
        <v>3.991959799</v>
      </c>
      <c r="Y52">
        <v>19.997989950000001</v>
      </c>
      <c r="Z52">
        <v>26</v>
      </c>
      <c r="AA52">
        <v>0.65125628099999999</v>
      </c>
      <c r="AB52">
        <v>11.6620603</v>
      </c>
      <c r="AC52">
        <v>2.1231155780000002</v>
      </c>
      <c r="AD52">
        <v>0.342914838</v>
      </c>
      <c r="AE52">
        <v>0.84303730899999996</v>
      </c>
      <c r="AF52">
        <v>71.856429660000003</v>
      </c>
      <c r="AG52">
        <v>9.5634914240000004</v>
      </c>
      <c r="AI52" t="str">
        <f t="shared" si="7"/>
        <v>7.742477552</v>
      </c>
      <c r="AJ52" t="str">
        <f t="shared" si="9"/>
        <v>18.85764929</v>
      </c>
      <c r="AK52" t="str">
        <f t="shared" si="9"/>
        <v>11.11517173</v>
      </c>
      <c r="AL52" t="str">
        <f t="shared" si="9"/>
        <v>253.5172892</v>
      </c>
      <c r="AM52" t="str">
        <f t="shared" si="9"/>
        <v>2424.655476</v>
      </c>
      <c r="AN52" t="str">
        <f t="shared" si="9"/>
        <v>414.8931202</v>
      </c>
      <c r="AO52" t="str">
        <f t="shared" si="9"/>
        <v>12.74283356</v>
      </c>
      <c r="AP52" t="str">
        <f t="shared" si="9"/>
        <v>253.5172892</v>
      </c>
      <c r="AQ52" t="str">
        <f t="shared" si="9"/>
        <v>12.59890088</v>
      </c>
      <c r="AR52" t="str">
        <f t="shared" si="9"/>
        <v>280.6281407</v>
      </c>
      <c r="AS52" t="str">
        <f t="shared" si="9"/>
        <v>0.726030151</v>
      </c>
      <c r="AT52" t="str">
        <f t="shared" si="9"/>
        <v>0.958904523</v>
      </c>
      <c r="AU52" t="str">
        <f t="shared" si="9"/>
        <v>0.548257405</v>
      </c>
      <c r="AV52" t="str">
        <f t="shared" si="9"/>
        <v>1.662914573</v>
      </c>
      <c r="AW52" t="str">
        <f t="shared" si="9"/>
        <v>0.984703517</v>
      </c>
      <c r="AX52" t="str">
        <f t="shared" si="9"/>
        <v>1.091900421</v>
      </c>
      <c r="AY52" t="str">
        <f t="shared" si="8"/>
        <v>20.96984925</v>
      </c>
      <c r="AZ52">
        <f t="shared" si="8"/>
        <v>24</v>
      </c>
      <c r="BA52" t="str">
        <f t="shared" si="8"/>
        <v>3.991959799</v>
      </c>
      <c r="BB52" t="str">
        <f t="shared" si="8"/>
        <v>19.99798995</v>
      </c>
      <c r="BC52">
        <f t="shared" si="8"/>
        <v>26</v>
      </c>
      <c r="BD52" t="str">
        <f t="shared" si="8"/>
        <v>0.651256281</v>
      </c>
      <c r="BE52" t="str">
        <f t="shared" si="8"/>
        <v>11.6620603</v>
      </c>
      <c r="BF52" t="str">
        <f t="shared" si="8"/>
        <v>2.123115578</v>
      </c>
      <c r="BG52" t="str">
        <f t="shared" si="8"/>
        <v>0.342914838</v>
      </c>
      <c r="BH52" t="str">
        <f t="shared" si="8"/>
        <v>0.843037309</v>
      </c>
      <c r="BI52" t="str">
        <f t="shared" si="8"/>
        <v>71.85642966</v>
      </c>
      <c r="BJ52" t="str">
        <f t="shared" si="8"/>
        <v>9.563491424</v>
      </c>
    </row>
    <row r="53" spans="1:62" x14ac:dyDescent="0.25">
      <c r="A53" s="3" t="s">
        <v>521</v>
      </c>
      <c r="B53" t="s">
        <v>454</v>
      </c>
      <c r="C53" t="s">
        <v>11</v>
      </c>
      <c r="D53" s="26"/>
      <c r="E53">
        <v>52</v>
      </c>
      <c r="F53">
        <v>7.6101882559999998</v>
      </c>
      <c r="G53">
        <v>20.859783589999999</v>
      </c>
      <c r="H53">
        <v>13.24959533</v>
      </c>
      <c r="I53">
        <v>264.98109790000001</v>
      </c>
      <c r="J53">
        <v>2633.7835180000002</v>
      </c>
      <c r="K53">
        <v>900.77495199999998</v>
      </c>
      <c r="L53">
        <v>14.91868539</v>
      </c>
      <c r="M53">
        <v>264.98109790000001</v>
      </c>
      <c r="N53">
        <v>14.89746953</v>
      </c>
      <c r="O53">
        <v>242.5</v>
      </c>
      <c r="P53">
        <v>0.76839999999999997</v>
      </c>
      <c r="Q53">
        <v>0.99009000000000003</v>
      </c>
      <c r="R53">
        <v>0.45105379499999998</v>
      </c>
      <c r="S53">
        <v>1.5930500000000001</v>
      </c>
      <c r="T53">
        <v>0.99319207700000001</v>
      </c>
      <c r="U53">
        <v>1.096190918</v>
      </c>
      <c r="V53">
        <v>20.213000000000001</v>
      </c>
      <c r="W53">
        <v>24.103999999999999</v>
      </c>
      <c r="X53">
        <v>3.944</v>
      </c>
      <c r="Y53">
        <v>19.927</v>
      </c>
      <c r="Z53">
        <v>26.077999999999999</v>
      </c>
      <c r="AA53">
        <v>0.245</v>
      </c>
      <c r="AB53">
        <v>5.7723500000000003</v>
      </c>
      <c r="AC53">
        <v>1.59975</v>
      </c>
      <c r="AD53">
        <v>0.391854225</v>
      </c>
      <c r="AE53">
        <v>0.91775691500000001</v>
      </c>
      <c r="AF53">
        <v>94.138057399999994</v>
      </c>
      <c r="AG53">
        <v>3.4004397470000001</v>
      </c>
      <c r="AI53" t="str">
        <f t="shared" si="7"/>
        <v>7.610188256</v>
      </c>
      <c r="AJ53" t="str">
        <f t="shared" si="9"/>
        <v>20.85978359</v>
      </c>
      <c r="AK53" t="str">
        <f t="shared" si="9"/>
        <v>13.24959533</v>
      </c>
      <c r="AL53" t="str">
        <f t="shared" si="9"/>
        <v>264.9810979</v>
      </c>
      <c r="AM53" t="str">
        <f t="shared" si="9"/>
        <v>2633.783518</v>
      </c>
      <c r="AN53" t="str">
        <f t="shared" si="9"/>
        <v>900.774952</v>
      </c>
      <c r="AO53" t="str">
        <f t="shared" si="9"/>
        <v>14.91868539</v>
      </c>
      <c r="AP53" t="str">
        <f t="shared" si="9"/>
        <v>264.9810979</v>
      </c>
      <c r="AQ53" t="str">
        <f t="shared" si="9"/>
        <v>14.89746953</v>
      </c>
      <c r="AR53" t="str">
        <f t="shared" si="9"/>
        <v>242.5</v>
      </c>
      <c r="AS53" t="str">
        <f t="shared" si="9"/>
        <v>0.7684</v>
      </c>
      <c r="AT53" t="str">
        <f t="shared" si="9"/>
        <v>0.99009</v>
      </c>
      <c r="AU53" t="str">
        <f t="shared" si="9"/>
        <v>0.451053795</v>
      </c>
      <c r="AV53" t="str">
        <f t="shared" si="9"/>
        <v>1.59305</v>
      </c>
      <c r="AW53" t="str">
        <f t="shared" si="9"/>
        <v>0.993192077</v>
      </c>
      <c r="AX53" t="str">
        <f t="shared" si="9"/>
        <v>1.096190918</v>
      </c>
      <c r="AY53" t="str">
        <f t="shared" si="8"/>
        <v>20.213</v>
      </c>
      <c r="AZ53" t="str">
        <f t="shared" si="8"/>
        <v>24.104</v>
      </c>
      <c r="BA53" t="str">
        <f t="shared" si="8"/>
        <v>3.944</v>
      </c>
      <c r="BB53" t="str">
        <f t="shared" si="8"/>
        <v>19.927</v>
      </c>
      <c r="BC53" t="str">
        <f t="shared" si="8"/>
        <v>26.078</v>
      </c>
      <c r="BD53" t="str">
        <f t="shared" si="8"/>
        <v>0.245</v>
      </c>
      <c r="BE53" t="str">
        <f t="shared" si="8"/>
        <v>5.77235</v>
      </c>
      <c r="BF53" t="str">
        <f t="shared" si="8"/>
        <v>1.59975</v>
      </c>
      <c r="BG53" t="str">
        <f t="shared" si="8"/>
        <v>0.391854225</v>
      </c>
      <c r="BH53" t="str">
        <f t="shared" si="8"/>
        <v>0.917756915</v>
      </c>
      <c r="BI53" t="str">
        <f t="shared" si="8"/>
        <v>94.1380574</v>
      </c>
      <c r="BJ53" t="str">
        <f t="shared" si="8"/>
        <v>3.400439747</v>
      </c>
    </row>
    <row r="54" spans="1:62" x14ac:dyDescent="0.25">
      <c r="A54" s="3" t="s">
        <v>522</v>
      </c>
      <c r="B54" t="s">
        <v>455</v>
      </c>
      <c r="C54" t="s">
        <v>11</v>
      </c>
      <c r="D54" t="s">
        <v>290</v>
      </c>
      <c r="E54">
        <v>53</v>
      </c>
      <c r="F54">
        <v>7.7195267039999997</v>
      </c>
      <c r="G54">
        <v>21.331754579999998</v>
      </c>
      <c r="H54">
        <v>13.61222787</v>
      </c>
      <c r="I54">
        <v>251.65286939999999</v>
      </c>
      <c r="J54">
        <v>2522.160464</v>
      </c>
      <c r="K54">
        <v>903.10180790000004</v>
      </c>
      <c r="L54">
        <v>15.28044869</v>
      </c>
      <c r="M54">
        <v>251.65286939999999</v>
      </c>
      <c r="N54">
        <v>15.28044869</v>
      </c>
      <c r="O54">
        <v>244.74474470000001</v>
      </c>
      <c r="P54">
        <v>0.86046045999999998</v>
      </c>
      <c r="Q54">
        <v>0.99473473499999998</v>
      </c>
      <c r="R54">
        <v>0.47155315599999997</v>
      </c>
      <c r="S54">
        <v>1.6526526530000001</v>
      </c>
      <c r="T54">
        <v>0.99702952</v>
      </c>
      <c r="U54">
        <v>1.0800379259999999</v>
      </c>
      <c r="V54">
        <v>19.861861860000001</v>
      </c>
      <c r="W54">
        <v>24.03203203</v>
      </c>
      <c r="X54">
        <v>4</v>
      </c>
      <c r="Y54">
        <v>20.00600601</v>
      </c>
      <c r="Z54">
        <v>26.024024019999999</v>
      </c>
      <c r="AA54">
        <v>8.5085085000000005E-2</v>
      </c>
      <c r="AB54">
        <v>4.5904904899999996</v>
      </c>
      <c r="AC54">
        <v>1.495245245</v>
      </c>
      <c r="AD54">
        <v>0.41842432600000001</v>
      </c>
      <c r="AE54">
        <v>0.92251323600000001</v>
      </c>
      <c r="AF54">
        <v>101.62937580000001</v>
      </c>
      <c r="AG54">
        <v>1.640891793</v>
      </c>
      <c r="AI54" t="str">
        <f t="shared" si="7"/>
        <v>7.719526704</v>
      </c>
      <c r="AJ54" t="str">
        <f t="shared" si="9"/>
        <v>21.33175458</v>
      </c>
      <c r="AK54" t="str">
        <f t="shared" si="9"/>
        <v>13.61222787</v>
      </c>
      <c r="AL54" t="str">
        <f t="shared" si="9"/>
        <v>251.6528694</v>
      </c>
      <c r="AM54" t="str">
        <f t="shared" si="9"/>
        <v>2522.160464</v>
      </c>
      <c r="AN54" t="str">
        <f t="shared" si="9"/>
        <v>903.1018079</v>
      </c>
      <c r="AO54" t="str">
        <f t="shared" si="9"/>
        <v>15.28044869</v>
      </c>
      <c r="AP54" t="str">
        <f t="shared" si="9"/>
        <v>251.6528694</v>
      </c>
      <c r="AQ54" t="str">
        <f t="shared" si="9"/>
        <v>15.28044869</v>
      </c>
      <c r="AR54" t="str">
        <f t="shared" si="9"/>
        <v>244.7447447</v>
      </c>
      <c r="AS54" t="str">
        <f t="shared" si="9"/>
        <v>0.86046046</v>
      </c>
      <c r="AT54" t="str">
        <f t="shared" si="9"/>
        <v>0.994734735</v>
      </c>
      <c r="AU54" t="str">
        <f t="shared" si="9"/>
        <v>0.471553156</v>
      </c>
      <c r="AV54" t="str">
        <f t="shared" si="9"/>
        <v>1.652652653</v>
      </c>
      <c r="AW54" t="str">
        <f t="shared" si="9"/>
        <v>0.99702952</v>
      </c>
      <c r="AX54" t="str">
        <f t="shared" si="9"/>
        <v>1.080037926</v>
      </c>
      <c r="AY54" t="str">
        <f t="shared" si="8"/>
        <v>19.86186186</v>
      </c>
      <c r="AZ54" t="str">
        <f t="shared" si="8"/>
        <v>24.03203203</v>
      </c>
      <c r="BA54">
        <f t="shared" si="8"/>
        <v>4</v>
      </c>
      <c r="BB54" t="str">
        <f t="shared" si="8"/>
        <v>20.00600601</v>
      </c>
      <c r="BC54" t="str">
        <f t="shared" si="8"/>
        <v>26.02402402</v>
      </c>
      <c r="BD54" t="str">
        <f t="shared" si="8"/>
        <v>0.085085085</v>
      </c>
      <c r="BE54" t="str">
        <f t="shared" si="8"/>
        <v>4.59049049</v>
      </c>
      <c r="BF54" t="str">
        <f t="shared" si="8"/>
        <v>1.495245245</v>
      </c>
      <c r="BG54" t="str">
        <f t="shared" si="8"/>
        <v>0.418424326</v>
      </c>
      <c r="BH54" t="str">
        <f t="shared" si="8"/>
        <v>0.922513236</v>
      </c>
      <c r="BI54" t="str">
        <f t="shared" si="8"/>
        <v>101.6293758</v>
      </c>
      <c r="BJ54" t="str">
        <f t="shared" si="8"/>
        <v>1.640891793</v>
      </c>
    </row>
    <row r="55" spans="1:62" x14ac:dyDescent="0.25">
      <c r="A55" s="3" t="s">
        <v>523</v>
      </c>
      <c r="B55" t="s">
        <v>456</v>
      </c>
      <c r="C55" t="s">
        <v>11</v>
      </c>
      <c r="D55" t="s">
        <v>291</v>
      </c>
      <c r="E55">
        <v>54</v>
      </c>
      <c r="F55">
        <v>7.7195267039999997</v>
      </c>
      <c r="G55">
        <v>21.331754579999998</v>
      </c>
      <c r="H55">
        <v>13.61222787</v>
      </c>
      <c r="I55">
        <v>251.65286939999999</v>
      </c>
      <c r="J55">
        <v>2522.160464</v>
      </c>
      <c r="K55">
        <v>903.10180790000004</v>
      </c>
      <c r="L55">
        <v>15.28044869</v>
      </c>
      <c r="M55">
        <v>251.65286939999999</v>
      </c>
      <c r="N55">
        <v>15.28044869</v>
      </c>
      <c r="O55">
        <v>244.74474470000001</v>
      </c>
      <c r="P55">
        <v>0.86046045999999998</v>
      </c>
      <c r="Q55">
        <v>0.99473473499999998</v>
      </c>
      <c r="R55">
        <v>0.47155315599999997</v>
      </c>
      <c r="S55">
        <v>1.6526526530000001</v>
      </c>
      <c r="T55">
        <v>0.99702952</v>
      </c>
      <c r="U55">
        <v>1.0800379259999999</v>
      </c>
      <c r="V55">
        <v>19.861861860000001</v>
      </c>
      <c r="W55">
        <v>24.03203203</v>
      </c>
      <c r="X55">
        <v>4</v>
      </c>
      <c r="Y55">
        <v>20.00600601</v>
      </c>
      <c r="Z55">
        <v>26.024024019999999</v>
      </c>
      <c r="AA55">
        <v>8.5085085000000005E-2</v>
      </c>
      <c r="AB55">
        <v>4.5904904899999996</v>
      </c>
      <c r="AC55">
        <v>1.495245245</v>
      </c>
      <c r="AD55">
        <v>0.41842432600000001</v>
      </c>
      <c r="AE55">
        <v>0.92251323600000001</v>
      </c>
      <c r="AF55">
        <v>101.62937580000001</v>
      </c>
      <c r="AG55">
        <v>1.640891793</v>
      </c>
      <c r="AI55" t="str">
        <f t="shared" si="7"/>
        <v>7.719526704</v>
      </c>
      <c r="AJ55" t="str">
        <f t="shared" si="9"/>
        <v>21.33175458</v>
      </c>
      <c r="AK55" t="str">
        <f t="shared" si="9"/>
        <v>13.61222787</v>
      </c>
      <c r="AL55" t="str">
        <f t="shared" si="9"/>
        <v>251.6528694</v>
      </c>
      <c r="AM55" t="str">
        <f t="shared" si="9"/>
        <v>2522.160464</v>
      </c>
      <c r="AN55" t="str">
        <f t="shared" si="9"/>
        <v>903.1018079</v>
      </c>
      <c r="AO55" t="str">
        <f t="shared" si="9"/>
        <v>15.28044869</v>
      </c>
      <c r="AP55" t="str">
        <f t="shared" si="9"/>
        <v>251.6528694</v>
      </c>
      <c r="AQ55" t="str">
        <f t="shared" si="9"/>
        <v>15.28044869</v>
      </c>
      <c r="AR55" t="str">
        <f t="shared" si="9"/>
        <v>244.7447447</v>
      </c>
      <c r="AS55" t="str">
        <f t="shared" si="9"/>
        <v>0.86046046</v>
      </c>
      <c r="AT55" t="str">
        <f t="shared" si="9"/>
        <v>0.994734735</v>
      </c>
      <c r="AU55" t="str">
        <f t="shared" si="9"/>
        <v>0.471553156</v>
      </c>
      <c r="AV55" t="str">
        <f t="shared" si="9"/>
        <v>1.652652653</v>
      </c>
      <c r="AW55" t="str">
        <f t="shared" si="9"/>
        <v>0.99702952</v>
      </c>
      <c r="AX55" t="str">
        <f t="shared" si="9"/>
        <v>1.080037926</v>
      </c>
      <c r="AY55" t="str">
        <f t="shared" si="8"/>
        <v>19.86186186</v>
      </c>
      <c r="AZ55" t="str">
        <f t="shared" si="8"/>
        <v>24.03203203</v>
      </c>
      <c r="BA55">
        <f t="shared" si="8"/>
        <v>4</v>
      </c>
      <c r="BB55" t="str">
        <f t="shared" si="8"/>
        <v>20.00600601</v>
      </c>
      <c r="BC55" t="str">
        <f t="shared" si="8"/>
        <v>26.02402402</v>
      </c>
      <c r="BD55" t="str">
        <f t="shared" si="8"/>
        <v>0.085085085</v>
      </c>
      <c r="BE55" t="str">
        <f t="shared" si="8"/>
        <v>4.59049049</v>
      </c>
      <c r="BF55" t="str">
        <f t="shared" si="8"/>
        <v>1.495245245</v>
      </c>
      <c r="BG55" t="str">
        <f t="shared" si="8"/>
        <v>0.418424326</v>
      </c>
      <c r="BH55" t="str">
        <f t="shared" si="8"/>
        <v>0.922513236</v>
      </c>
      <c r="BI55" t="str">
        <f t="shared" si="8"/>
        <v>101.6293758</v>
      </c>
      <c r="BJ55" t="str">
        <f t="shared" si="8"/>
        <v>1.640891793</v>
      </c>
    </row>
    <row r="56" spans="1:62" x14ac:dyDescent="0.25">
      <c r="A56" s="3" t="s">
        <v>524</v>
      </c>
      <c r="B56" t="s">
        <v>457</v>
      </c>
      <c r="C56" t="s">
        <v>11</v>
      </c>
      <c r="D56" t="s">
        <v>292</v>
      </c>
      <c r="E56">
        <v>55</v>
      </c>
      <c r="F56">
        <v>7.7033302209999999</v>
      </c>
      <c r="G56">
        <v>21.18319185</v>
      </c>
      <c r="H56">
        <v>13.47986163</v>
      </c>
      <c r="I56">
        <v>257.47656419999998</v>
      </c>
      <c r="J56">
        <v>2577.6741579999998</v>
      </c>
      <c r="K56">
        <v>905.15898749999997</v>
      </c>
      <c r="L56">
        <v>15.09207726</v>
      </c>
      <c r="M56">
        <v>257.47656419999998</v>
      </c>
      <c r="N56">
        <v>15.09207726</v>
      </c>
      <c r="O56">
        <v>246.84765780000001</v>
      </c>
      <c r="P56">
        <v>0.809829837</v>
      </c>
      <c r="Q56">
        <v>0.99305332400000002</v>
      </c>
      <c r="R56">
        <v>0.452254832</v>
      </c>
      <c r="S56">
        <v>1.6546105149999999</v>
      </c>
      <c r="T56">
        <v>0.99625680100000003</v>
      </c>
      <c r="U56">
        <v>1.079008704</v>
      </c>
      <c r="V56">
        <v>19.96896855</v>
      </c>
      <c r="W56">
        <v>24.01231319</v>
      </c>
      <c r="X56">
        <v>3.9784556129999999</v>
      </c>
      <c r="Y56">
        <v>19.92982554</v>
      </c>
      <c r="Z56">
        <v>26.009234889999998</v>
      </c>
      <c r="AA56">
        <v>0.15838075600000001</v>
      </c>
      <c r="AB56">
        <v>4.9043560900000003</v>
      </c>
      <c r="AC56">
        <v>1.510030354</v>
      </c>
      <c r="AD56">
        <v>0.406881616</v>
      </c>
      <c r="AE56">
        <v>0.92070152299999997</v>
      </c>
      <c r="AF56">
        <v>99.232930510000003</v>
      </c>
      <c r="AG56">
        <v>1.7226023450000001</v>
      </c>
      <c r="AI56" t="str">
        <f t="shared" si="7"/>
        <v>7.703330221</v>
      </c>
      <c r="AJ56" t="str">
        <f t="shared" si="9"/>
        <v>21.18319185</v>
      </c>
      <c r="AK56" t="str">
        <f t="shared" si="9"/>
        <v>13.47986163</v>
      </c>
      <c r="AL56" t="str">
        <f t="shared" si="9"/>
        <v>257.4765642</v>
      </c>
      <c r="AM56" t="str">
        <f t="shared" si="9"/>
        <v>2577.674158</v>
      </c>
      <c r="AN56" t="str">
        <f t="shared" si="9"/>
        <v>905.1589875</v>
      </c>
      <c r="AO56" t="str">
        <f t="shared" si="9"/>
        <v>15.09207726</v>
      </c>
      <c r="AP56" t="str">
        <f t="shared" si="9"/>
        <v>257.4765642</v>
      </c>
      <c r="AQ56" t="str">
        <f t="shared" si="9"/>
        <v>15.09207726</v>
      </c>
      <c r="AR56" t="str">
        <f t="shared" si="9"/>
        <v>246.8476578</v>
      </c>
      <c r="AS56" t="str">
        <f t="shared" si="9"/>
        <v>0.809829837</v>
      </c>
      <c r="AT56" t="str">
        <f t="shared" si="9"/>
        <v>0.993053324</v>
      </c>
      <c r="AU56" t="str">
        <f t="shared" si="9"/>
        <v>0.452254832</v>
      </c>
      <c r="AV56" t="str">
        <f t="shared" si="9"/>
        <v>1.654610515</v>
      </c>
      <c r="AW56" t="str">
        <f t="shared" si="9"/>
        <v>0.996256801</v>
      </c>
      <c r="AX56" t="str">
        <f t="shared" si="9"/>
        <v>1.079008704</v>
      </c>
      <c r="AY56" t="str">
        <f t="shared" si="8"/>
        <v>19.96896855</v>
      </c>
      <c r="AZ56" t="str">
        <f t="shared" si="8"/>
        <v>24.01231319</v>
      </c>
      <c r="BA56" t="str">
        <f t="shared" si="8"/>
        <v>3.978455613</v>
      </c>
      <c r="BB56" t="str">
        <f t="shared" si="8"/>
        <v>19.92982554</v>
      </c>
      <c r="BC56" t="str">
        <f t="shared" si="8"/>
        <v>26.00923489</v>
      </c>
      <c r="BD56" t="str">
        <f t="shared" si="8"/>
        <v>0.158380756</v>
      </c>
      <c r="BE56" t="str">
        <f t="shared" si="8"/>
        <v>4.90435609</v>
      </c>
      <c r="BF56" t="str">
        <f t="shared" si="8"/>
        <v>1.510030354</v>
      </c>
      <c r="BG56" t="str">
        <f t="shared" si="8"/>
        <v>0.406881616</v>
      </c>
      <c r="BH56" t="str">
        <f t="shared" si="8"/>
        <v>0.920701523</v>
      </c>
      <c r="BI56" t="str">
        <f t="shared" si="8"/>
        <v>99.23293051</v>
      </c>
      <c r="BJ56" t="str">
        <f t="shared" si="8"/>
        <v>1.722602345</v>
      </c>
    </row>
    <row r="57" spans="1:62" x14ac:dyDescent="0.25">
      <c r="A57" s="3" t="s">
        <v>525</v>
      </c>
      <c r="B57" t="s">
        <v>458</v>
      </c>
      <c r="C57" t="s">
        <v>11</v>
      </c>
      <c r="D57" t="s">
        <v>293</v>
      </c>
      <c r="E57">
        <v>56</v>
      </c>
      <c r="F57">
        <v>7.7033302209999999</v>
      </c>
      <c r="G57">
        <v>21.18319185</v>
      </c>
      <c r="H57">
        <v>13.47986163</v>
      </c>
      <c r="I57">
        <v>257.47656419999998</v>
      </c>
      <c r="J57">
        <v>2577.6741579999998</v>
      </c>
      <c r="K57">
        <v>905.15898749999997</v>
      </c>
      <c r="L57">
        <v>15.09207726</v>
      </c>
      <c r="M57">
        <v>257.47656419999998</v>
      </c>
      <c r="N57">
        <v>15.09207726</v>
      </c>
      <c r="O57">
        <v>246.84765780000001</v>
      </c>
      <c r="P57">
        <v>0.809829837</v>
      </c>
      <c r="Q57">
        <v>0.99305332400000002</v>
      </c>
      <c r="R57">
        <v>0.452254832</v>
      </c>
      <c r="S57">
        <v>1.6546105149999999</v>
      </c>
      <c r="T57">
        <v>0.99625680100000003</v>
      </c>
      <c r="U57">
        <v>1.079008704</v>
      </c>
      <c r="V57">
        <v>19.96896855</v>
      </c>
      <c r="W57">
        <v>24.01231319</v>
      </c>
      <c r="X57">
        <v>3.9784556129999999</v>
      </c>
      <c r="Y57">
        <v>19.92982554</v>
      </c>
      <c r="Z57">
        <v>26.009234889999998</v>
      </c>
      <c r="AA57">
        <v>0.15838075600000001</v>
      </c>
      <c r="AB57">
        <v>4.9043560900000003</v>
      </c>
      <c r="AC57">
        <v>1.510030354</v>
      </c>
      <c r="AD57">
        <v>0.406881616</v>
      </c>
      <c r="AE57">
        <v>0.92070152299999997</v>
      </c>
      <c r="AF57">
        <v>99.232930510000003</v>
      </c>
      <c r="AG57">
        <v>1.7226023450000001</v>
      </c>
      <c r="AI57" t="str">
        <f t="shared" si="7"/>
        <v>7.703330221</v>
      </c>
      <c r="AJ57" t="str">
        <f t="shared" si="9"/>
        <v>21.18319185</v>
      </c>
      <c r="AK57" t="str">
        <f t="shared" si="9"/>
        <v>13.47986163</v>
      </c>
      <c r="AL57" t="str">
        <f t="shared" si="9"/>
        <v>257.4765642</v>
      </c>
      <c r="AM57" t="str">
        <f t="shared" si="9"/>
        <v>2577.674158</v>
      </c>
      <c r="AN57" t="str">
        <f t="shared" si="9"/>
        <v>905.1589875</v>
      </c>
      <c r="AO57" t="str">
        <f t="shared" si="9"/>
        <v>15.09207726</v>
      </c>
      <c r="AP57" t="str">
        <f t="shared" si="9"/>
        <v>257.4765642</v>
      </c>
      <c r="AQ57" t="str">
        <f t="shared" si="9"/>
        <v>15.09207726</v>
      </c>
      <c r="AR57" t="str">
        <f t="shared" si="9"/>
        <v>246.8476578</v>
      </c>
      <c r="AS57" t="str">
        <f t="shared" si="9"/>
        <v>0.809829837</v>
      </c>
      <c r="AT57" t="str">
        <f t="shared" si="9"/>
        <v>0.993053324</v>
      </c>
      <c r="AU57" t="str">
        <f t="shared" si="9"/>
        <v>0.452254832</v>
      </c>
      <c r="AV57" t="str">
        <f t="shared" si="9"/>
        <v>1.654610515</v>
      </c>
      <c r="AW57" t="str">
        <f t="shared" si="9"/>
        <v>0.996256801</v>
      </c>
      <c r="AX57" t="str">
        <f t="shared" si="9"/>
        <v>1.079008704</v>
      </c>
      <c r="AY57" t="str">
        <f t="shared" si="8"/>
        <v>19.96896855</v>
      </c>
      <c r="AZ57" t="str">
        <f t="shared" si="8"/>
        <v>24.01231319</v>
      </c>
      <c r="BA57" t="str">
        <f t="shared" si="8"/>
        <v>3.978455613</v>
      </c>
      <c r="BB57" t="str">
        <f t="shared" si="8"/>
        <v>19.92982554</v>
      </c>
      <c r="BC57" t="str">
        <f t="shared" si="8"/>
        <v>26.00923489</v>
      </c>
      <c r="BD57" t="str">
        <f t="shared" si="8"/>
        <v>0.158380756</v>
      </c>
      <c r="BE57" t="str">
        <f t="shared" si="8"/>
        <v>4.90435609</v>
      </c>
      <c r="BF57" t="str">
        <f t="shared" si="8"/>
        <v>1.510030354</v>
      </c>
      <c r="BG57" t="str">
        <f t="shared" si="8"/>
        <v>0.406881616</v>
      </c>
      <c r="BH57" t="str">
        <f t="shared" si="8"/>
        <v>0.920701523</v>
      </c>
      <c r="BI57" t="str">
        <f t="shared" si="8"/>
        <v>99.23293051</v>
      </c>
      <c r="BJ57" t="str">
        <f t="shared" si="8"/>
        <v>1.722602345</v>
      </c>
    </row>
    <row r="58" spans="1:62" x14ac:dyDescent="0.25">
      <c r="A58" s="3" t="s">
        <v>526</v>
      </c>
      <c r="B58" t="s">
        <v>459</v>
      </c>
      <c r="C58" t="s">
        <v>11</v>
      </c>
      <c r="D58" t="s">
        <v>294</v>
      </c>
      <c r="E58">
        <v>57</v>
      </c>
      <c r="F58">
        <v>7.7326284129999996</v>
      </c>
      <c r="G58">
        <v>20.58016215</v>
      </c>
      <c r="H58">
        <v>12.847533739999999</v>
      </c>
      <c r="I58">
        <v>266.23350979999998</v>
      </c>
      <c r="J58">
        <v>2617.1651160000001</v>
      </c>
      <c r="K58">
        <v>811.0415524</v>
      </c>
      <c r="L58">
        <v>14.548347659999999</v>
      </c>
      <c r="M58">
        <v>266.23350979999998</v>
      </c>
      <c r="N58">
        <v>14.548347659999999</v>
      </c>
      <c r="O58">
        <v>226.0479042</v>
      </c>
      <c r="P58">
        <v>0.74530938099999999</v>
      </c>
      <c r="Q58">
        <v>0.98786427099999996</v>
      </c>
      <c r="R58">
        <v>0.48432347999999997</v>
      </c>
      <c r="S58">
        <v>1.5143712570000001</v>
      </c>
      <c r="T58">
        <v>0.99924646800000005</v>
      </c>
      <c r="U58">
        <v>1.1721859750000001</v>
      </c>
      <c r="V58">
        <v>20.483033930000001</v>
      </c>
      <c r="W58">
        <v>24.447105789999998</v>
      </c>
      <c r="X58">
        <v>4</v>
      </c>
      <c r="Y58">
        <v>20.099800399999999</v>
      </c>
      <c r="Z58">
        <v>26.335329340000001</v>
      </c>
      <c r="AA58">
        <v>0.28343313399999998</v>
      </c>
      <c r="AB58">
        <v>5.3086826350000003</v>
      </c>
      <c r="AC58">
        <v>1.4246506990000001</v>
      </c>
      <c r="AD58">
        <v>0.35136077300000002</v>
      </c>
      <c r="AE58">
        <v>0.92163110100000001</v>
      </c>
      <c r="AF58">
        <v>89.161031519999995</v>
      </c>
      <c r="AG58">
        <v>4.8047564469999999</v>
      </c>
      <c r="AI58" t="str">
        <f t="shared" si="7"/>
        <v>7.732628413</v>
      </c>
      <c r="AJ58" t="str">
        <f t="shared" si="9"/>
        <v>20.58016215</v>
      </c>
      <c r="AK58" t="str">
        <f t="shared" si="9"/>
        <v>12.84753374</v>
      </c>
      <c r="AL58" t="str">
        <f t="shared" si="9"/>
        <v>266.2335098</v>
      </c>
      <c r="AM58" t="str">
        <f t="shared" si="9"/>
        <v>2617.165116</v>
      </c>
      <c r="AN58" t="str">
        <f t="shared" si="9"/>
        <v>811.0415524</v>
      </c>
      <c r="AO58" t="str">
        <f t="shared" si="9"/>
        <v>14.54834766</v>
      </c>
      <c r="AP58" t="str">
        <f t="shared" si="9"/>
        <v>266.2335098</v>
      </c>
      <c r="AQ58" t="str">
        <f t="shared" si="9"/>
        <v>14.54834766</v>
      </c>
      <c r="AR58" t="str">
        <f t="shared" si="9"/>
        <v>226.0479042</v>
      </c>
      <c r="AS58" t="str">
        <f t="shared" si="9"/>
        <v>0.745309381</v>
      </c>
      <c r="AT58" t="str">
        <f t="shared" si="9"/>
        <v>0.987864271</v>
      </c>
      <c r="AU58" t="str">
        <f t="shared" si="9"/>
        <v>0.48432348</v>
      </c>
      <c r="AV58" t="str">
        <f t="shared" si="9"/>
        <v>1.514371257</v>
      </c>
      <c r="AW58" t="str">
        <f t="shared" si="9"/>
        <v>0.999246468</v>
      </c>
      <c r="AX58" t="str">
        <f t="shared" si="9"/>
        <v>1.172185975</v>
      </c>
      <c r="AY58" t="str">
        <f t="shared" ref="AY58:BJ73" si="10">IF(MID(V58,2,1)=",",_xlfn.TEXTJOIN(".",FALSE,MID(V58,1,1),MID(V58,3,LEN(V58)-2)),IF(MID(V58,3,1)=",",_xlfn.TEXTJOIN(".",FALSE,MID(V58,1,2),MID(V58,4,LEN(V58)-3)),IF(MID(V58,4,1)=",",_xlfn.TEXTJOIN(".",FALSE,MID(V58,1,3),MID(V58,5,LEN(V58)-4)),IF(MID(V58,5,1)=",",_xlfn.TEXTJOIN(".",FALSE,MID(V58,1,4),MID(V58,6,LEN(V58)-5)),V58))))</f>
        <v>20.48303393</v>
      </c>
      <c r="AZ58" t="str">
        <f t="shared" si="10"/>
        <v>24.44710579</v>
      </c>
      <c r="BA58">
        <f t="shared" si="10"/>
        <v>4</v>
      </c>
      <c r="BB58" t="str">
        <f t="shared" si="10"/>
        <v>20.0998004</v>
      </c>
      <c r="BC58" t="str">
        <f t="shared" si="10"/>
        <v>26.33532934</v>
      </c>
      <c r="BD58" t="str">
        <f t="shared" si="10"/>
        <v>0.283433134</v>
      </c>
      <c r="BE58" t="str">
        <f t="shared" si="10"/>
        <v>5.308682635</v>
      </c>
      <c r="BF58" t="str">
        <f t="shared" si="10"/>
        <v>1.424650699</v>
      </c>
      <c r="BG58" t="str">
        <f t="shared" si="10"/>
        <v>0.351360773</v>
      </c>
      <c r="BH58" t="str">
        <f t="shared" si="10"/>
        <v>0.921631101</v>
      </c>
      <c r="BI58" t="str">
        <f t="shared" si="10"/>
        <v>89.16103152</v>
      </c>
      <c r="BJ58" t="str">
        <f t="shared" si="10"/>
        <v>4.804756447</v>
      </c>
    </row>
    <row r="59" spans="1:62" x14ac:dyDescent="0.25">
      <c r="A59" s="3" t="s">
        <v>527</v>
      </c>
      <c r="B59" t="s">
        <v>460</v>
      </c>
      <c r="C59" t="s">
        <v>11</v>
      </c>
      <c r="D59" t="s">
        <v>295</v>
      </c>
      <c r="E59">
        <v>58</v>
      </c>
      <c r="F59">
        <v>7.7326284129999996</v>
      </c>
      <c r="G59">
        <v>20.58016215</v>
      </c>
      <c r="H59">
        <v>12.847533739999999</v>
      </c>
      <c r="I59">
        <v>266.23350979999998</v>
      </c>
      <c r="J59">
        <v>2617.1651160000001</v>
      </c>
      <c r="K59">
        <v>811.0415524</v>
      </c>
      <c r="L59">
        <v>14.548347659999999</v>
      </c>
      <c r="M59">
        <v>266.23350979999998</v>
      </c>
      <c r="N59">
        <v>14.548347659999999</v>
      </c>
      <c r="O59">
        <v>226.0479042</v>
      </c>
      <c r="P59">
        <v>0.74530938099999999</v>
      </c>
      <c r="Q59">
        <v>0.98786427099999996</v>
      </c>
      <c r="R59">
        <v>0.48432347999999997</v>
      </c>
      <c r="S59">
        <v>1.5143712570000001</v>
      </c>
      <c r="T59">
        <v>0.99924646800000005</v>
      </c>
      <c r="U59">
        <v>1.1721859750000001</v>
      </c>
      <c r="V59">
        <v>20.483033930000001</v>
      </c>
      <c r="W59">
        <v>24.447105789999998</v>
      </c>
      <c r="X59">
        <v>4</v>
      </c>
      <c r="Y59">
        <v>20.099800399999999</v>
      </c>
      <c r="Z59">
        <v>26.335329340000001</v>
      </c>
      <c r="AA59">
        <v>0.28343313399999998</v>
      </c>
      <c r="AB59">
        <v>5.3086826350000003</v>
      </c>
      <c r="AC59">
        <v>1.4246506990000001</v>
      </c>
      <c r="AD59">
        <v>0.35136077300000002</v>
      </c>
      <c r="AE59">
        <v>0.92163110100000001</v>
      </c>
      <c r="AF59">
        <v>89.161031519999995</v>
      </c>
      <c r="AG59">
        <v>4.8047564469999999</v>
      </c>
      <c r="AI59" t="str">
        <f t="shared" si="7"/>
        <v>7.732628413</v>
      </c>
      <c r="AJ59" t="str">
        <f t="shared" ref="AJ59:AX74" si="11">IF(MID(G59,2,1)=",",_xlfn.TEXTJOIN(".",FALSE,MID(G59,1,1),MID(G59,3,LEN(G59)-2)),IF(MID(G59,3,1)=",",_xlfn.TEXTJOIN(".",FALSE,MID(G59,1,2),MID(G59,4,LEN(G59)-3)),IF(MID(G59,4,1)=",",_xlfn.TEXTJOIN(".",FALSE,MID(G59,1,3),MID(G59,5,LEN(G59)-4)),IF(MID(G59,5,1)=",",_xlfn.TEXTJOIN(".",FALSE,MID(G59,1,4),MID(G59,6,LEN(G59)-5)),G59))))</f>
        <v>20.58016215</v>
      </c>
      <c r="AK59" t="str">
        <f t="shared" si="11"/>
        <v>12.84753374</v>
      </c>
      <c r="AL59" t="str">
        <f t="shared" si="11"/>
        <v>266.2335098</v>
      </c>
      <c r="AM59" t="str">
        <f t="shared" si="11"/>
        <v>2617.165116</v>
      </c>
      <c r="AN59" t="str">
        <f t="shared" si="11"/>
        <v>811.0415524</v>
      </c>
      <c r="AO59" t="str">
        <f t="shared" si="11"/>
        <v>14.54834766</v>
      </c>
      <c r="AP59" t="str">
        <f t="shared" si="11"/>
        <v>266.2335098</v>
      </c>
      <c r="AQ59" t="str">
        <f t="shared" si="11"/>
        <v>14.54834766</v>
      </c>
      <c r="AR59" t="str">
        <f t="shared" si="11"/>
        <v>226.0479042</v>
      </c>
      <c r="AS59" t="str">
        <f t="shared" si="11"/>
        <v>0.745309381</v>
      </c>
      <c r="AT59" t="str">
        <f t="shared" si="11"/>
        <v>0.987864271</v>
      </c>
      <c r="AU59" t="str">
        <f t="shared" si="11"/>
        <v>0.48432348</v>
      </c>
      <c r="AV59" t="str">
        <f t="shared" si="11"/>
        <v>1.514371257</v>
      </c>
      <c r="AW59" t="str">
        <f t="shared" si="11"/>
        <v>0.999246468</v>
      </c>
      <c r="AX59" t="str">
        <f t="shared" si="11"/>
        <v>1.172185975</v>
      </c>
      <c r="AY59" t="str">
        <f t="shared" si="10"/>
        <v>20.48303393</v>
      </c>
      <c r="AZ59" t="str">
        <f t="shared" si="10"/>
        <v>24.44710579</v>
      </c>
      <c r="BA59">
        <f t="shared" si="10"/>
        <v>4</v>
      </c>
      <c r="BB59" t="str">
        <f t="shared" si="10"/>
        <v>20.0998004</v>
      </c>
      <c r="BC59" t="str">
        <f t="shared" si="10"/>
        <v>26.33532934</v>
      </c>
      <c r="BD59" t="str">
        <f t="shared" si="10"/>
        <v>0.283433134</v>
      </c>
      <c r="BE59" t="str">
        <f t="shared" si="10"/>
        <v>5.308682635</v>
      </c>
      <c r="BF59" t="str">
        <f t="shared" si="10"/>
        <v>1.424650699</v>
      </c>
      <c r="BG59" t="str">
        <f t="shared" si="10"/>
        <v>0.351360773</v>
      </c>
      <c r="BH59" t="str">
        <f t="shared" si="10"/>
        <v>0.921631101</v>
      </c>
      <c r="BI59" t="str">
        <f t="shared" si="10"/>
        <v>89.16103152</v>
      </c>
      <c r="BJ59" t="str">
        <f t="shared" si="10"/>
        <v>4.804756447</v>
      </c>
    </row>
    <row r="60" spans="1:62" x14ac:dyDescent="0.25">
      <c r="A60" s="3" t="s">
        <v>528</v>
      </c>
      <c r="B60" t="s">
        <v>461</v>
      </c>
      <c r="C60" t="s">
        <v>11</v>
      </c>
      <c r="D60" t="s">
        <v>296</v>
      </c>
      <c r="E60">
        <v>59</v>
      </c>
      <c r="F60">
        <v>7.7326284129999996</v>
      </c>
      <c r="G60">
        <v>20.58016215</v>
      </c>
      <c r="H60">
        <v>12.847533739999999</v>
      </c>
      <c r="I60">
        <v>266.23350979999998</v>
      </c>
      <c r="J60">
        <v>2617.1651160000001</v>
      </c>
      <c r="K60">
        <v>811.0415524</v>
      </c>
      <c r="L60">
        <v>14.548347659999999</v>
      </c>
      <c r="M60">
        <v>266.23350979999998</v>
      </c>
      <c r="N60">
        <v>14.548347659999999</v>
      </c>
      <c r="O60">
        <v>226.0479042</v>
      </c>
      <c r="P60">
        <v>0.74530938099999999</v>
      </c>
      <c r="Q60">
        <v>0.98786427099999996</v>
      </c>
      <c r="R60">
        <v>0.48432347999999997</v>
      </c>
      <c r="S60">
        <v>1.5143712570000001</v>
      </c>
      <c r="T60">
        <v>0.99924646800000005</v>
      </c>
      <c r="U60">
        <v>1.1721859750000001</v>
      </c>
      <c r="V60">
        <v>20.483033930000001</v>
      </c>
      <c r="W60">
        <v>24.447105789999998</v>
      </c>
      <c r="X60">
        <v>4</v>
      </c>
      <c r="Y60">
        <v>20.099800399999999</v>
      </c>
      <c r="Z60">
        <v>26.335329340000001</v>
      </c>
      <c r="AA60">
        <v>0.28343313399999998</v>
      </c>
      <c r="AB60">
        <v>5.3086826350000003</v>
      </c>
      <c r="AC60">
        <v>1.4246506990000001</v>
      </c>
      <c r="AD60">
        <v>0.35136077300000002</v>
      </c>
      <c r="AE60">
        <v>0.92163110100000001</v>
      </c>
      <c r="AF60">
        <v>89.161031519999995</v>
      </c>
      <c r="AG60">
        <v>4.8047564469999999</v>
      </c>
      <c r="AI60" t="str">
        <f t="shared" si="7"/>
        <v>7.732628413</v>
      </c>
      <c r="AJ60" t="str">
        <f t="shared" si="11"/>
        <v>20.58016215</v>
      </c>
      <c r="AK60" t="str">
        <f t="shared" si="11"/>
        <v>12.84753374</v>
      </c>
      <c r="AL60" t="str">
        <f t="shared" si="11"/>
        <v>266.2335098</v>
      </c>
      <c r="AM60" t="str">
        <f t="shared" si="11"/>
        <v>2617.165116</v>
      </c>
      <c r="AN60" t="str">
        <f t="shared" si="11"/>
        <v>811.0415524</v>
      </c>
      <c r="AO60" t="str">
        <f t="shared" si="11"/>
        <v>14.54834766</v>
      </c>
      <c r="AP60" t="str">
        <f t="shared" si="11"/>
        <v>266.2335098</v>
      </c>
      <c r="AQ60" t="str">
        <f t="shared" si="11"/>
        <v>14.54834766</v>
      </c>
      <c r="AR60" t="str">
        <f t="shared" si="11"/>
        <v>226.0479042</v>
      </c>
      <c r="AS60" t="str">
        <f t="shared" si="11"/>
        <v>0.745309381</v>
      </c>
      <c r="AT60" t="str">
        <f t="shared" si="11"/>
        <v>0.987864271</v>
      </c>
      <c r="AU60" t="str">
        <f t="shared" si="11"/>
        <v>0.48432348</v>
      </c>
      <c r="AV60" t="str">
        <f t="shared" si="11"/>
        <v>1.514371257</v>
      </c>
      <c r="AW60" t="str">
        <f t="shared" si="11"/>
        <v>0.999246468</v>
      </c>
      <c r="AX60" t="str">
        <f t="shared" si="11"/>
        <v>1.172185975</v>
      </c>
      <c r="AY60" t="str">
        <f t="shared" si="10"/>
        <v>20.48303393</v>
      </c>
      <c r="AZ60" t="str">
        <f t="shared" si="10"/>
        <v>24.44710579</v>
      </c>
      <c r="BA60">
        <f t="shared" si="10"/>
        <v>4</v>
      </c>
      <c r="BB60" t="str">
        <f t="shared" si="10"/>
        <v>20.0998004</v>
      </c>
      <c r="BC60" t="str">
        <f t="shared" si="10"/>
        <v>26.33532934</v>
      </c>
      <c r="BD60" t="str">
        <f t="shared" si="10"/>
        <v>0.283433134</v>
      </c>
      <c r="BE60" t="str">
        <f t="shared" si="10"/>
        <v>5.308682635</v>
      </c>
      <c r="BF60" t="str">
        <f t="shared" si="10"/>
        <v>1.424650699</v>
      </c>
      <c r="BG60" t="str">
        <f t="shared" si="10"/>
        <v>0.351360773</v>
      </c>
      <c r="BH60" t="str">
        <f t="shared" si="10"/>
        <v>0.921631101</v>
      </c>
      <c r="BI60" t="str">
        <f t="shared" si="10"/>
        <v>89.16103152</v>
      </c>
      <c r="BJ60" t="str">
        <f t="shared" si="10"/>
        <v>4.804756447</v>
      </c>
    </row>
    <row r="61" spans="1:62" x14ac:dyDescent="0.25">
      <c r="A61" s="3" t="s">
        <v>176</v>
      </c>
      <c r="B61" t="s">
        <v>462</v>
      </c>
      <c r="C61" t="s">
        <v>11</v>
      </c>
      <c r="D61" t="s">
        <v>297</v>
      </c>
      <c r="E61">
        <v>60</v>
      </c>
      <c r="F61">
        <v>7.7326284129999996</v>
      </c>
      <c r="G61">
        <v>20.58016215</v>
      </c>
      <c r="H61">
        <v>12.847533739999999</v>
      </c>
      <c r="I61">
        <v>266.23350979999998</v>
      </c>
      <c r="J61">
        <v>2617.1651160000001</v>
      </c>
      <c r="K61">
        <v>811.0415524</v>
      </c>
      <c r="L61">
        <v>14.548347659999999</v>
      </c>
      <c r="M61">
        <v>266.23350979999998</v>
      </c>
      <c r="N61">
        <v>14.548347659999999</v>
      </c>
      <c r="O61">
        <v>226.0479042</v>
      </c>
      <c r="P61">
        <v>0.74530938099999999</v>
      </c>
      <c r="Q61">
        <v>0.98786427099999996</v>
      </c>
      <c r="R61">
        <v>0.48432347999999997</v>
      </c>
      <c r="S61">
        <v>1.5143712570000001</v>
      </c>
      <c r="T61">
        <v>0.99924646800000005</v>
      </c>
      <c r="U61">
        <v>1.1721859750000001</v>
      </c>
      <c r="V61">
        <v>20.483033930000001</v>
      </c>
      <c r="W61">
        <v>24.447105789999998</v>
      </c>
      <c r="X61">
        <v>4</v>
      </c>
      <c r="Y61">
        <v>20.099800399999999</v>
      </c>
      <c r="Z61">
        <v>26.335329340000001</v>
      </c>
      <c r="AA61">
        <v>0.28343313399999998</v>
      </c>
      <c r="AB61">
        <v>5.3086826350000003</v>
      </c>
      <c r="AC61">
        <v>1.4246506990000001</v>
      </c>
      <c r="AD61">
        <v>0.35136077300000002</v>
      </c>
      <c r="AE61">
        <v>0.92163110100000001</v>
      </c>
      <c r="AF61">
        <v>89.161031519999995</v>
      </c>
      <c r="AG61">
        <v>4.8047564469999999</v>
      </c>
      <c r="AI61" t="str">
        <f t="shared" si="7"/>
        <v>7.732628413</v>
      </c>
      <c r="AJ61" t="str">
        <f t="shared" si="11"/>
        <v>20.58016215</v>
      </c>
      <c r="AK61" t="str">
        <f t="shared" si="11"/>
        <v>12.84753374</v>
      </c>
      <c r="AL61" t="str">
        <f t="shared" si="11"/>
        <v>266.2335098</v>
      </c>
      <c r="AM61" t="str">
        <f t="shared" si="11"/>
        <v>2617.165116</v>
      </c>
      <c r="AN61" t="str">
        <f t="shared" si="11"/>
        <v>811.0415524</v>
      </c>
      <c r="AO61" t="str">
        <f t="shared" si="11"/>
        <v>14.54834766</v>
      </c>
      <c r="AP61" t="str">
        <f t="shared" si="11"/>
        <v>266.2335098</v>
      </c>
      <c r="AQ61" t="str">
        <f t="shared" si="11"/>
        <v>14.54834766</v>
      </c>
      <c r="AR61" t="str">
        <f t="shared" si="11"/>
        <v>226.0479042</v>
      </c>
      <c r="AS61" t="str">
        <f t="shared" si="11"/>
        <v>0.745309381</v>
      </c>
      <c r="AT61" t="str">
        <f t="shared" si="11"/>
        <v>0.987864271</v>
      </c>
      <c r="AU61" t="str">
        <f t="shared" si="11"/>
        <v>0.48432348</v>
      </c>
      <c r="AV61" t="str">
        <f t="shared" si="11"/>
        <v>1.514371257</v>
      </c>
      <c r="AW61" t="str">
        <f t="shared" si="11"/>
        <v>0.999246468</v>
      </c>
      <c r="AX61" t="str">
        <f t="shared" si="11"/>
        <v>1.172185975</v>
      </c>
      <c r="AY61" t="str">
        <f t="shared" si="10"/>
        <v>20.48303393</v>
      </c>
      <c r="AZ61" t="str">
        <f t="shared" si="10"/>
        <v>24.44710579</v>
      </c>
      <c r="BA61">
        <f t="shared" si="10"/>
        <v>4</v>
      </c>
      <c r="BB61" t="str">
        <f t="shared" si="10"/>
        <v>20.0998004</v>
      </c>
      <c r="BC61" t="str">
        <f t="shared" si="10"/>
        <v>26.33532934</v>
      </c>
      <c r="BD61" t="str">
        <f t="shared" si="10"/>
        <v>0.283433134</v>
      </c>
      <c r="BE61" t="str">
        <f t="shared" si="10"/>
        <v>5.308682635</v>
      </c>
      <c r="BF61" t="str">
        <f t="shared" si="10"/>
        <v>1.424650699</v>
      </c>
      <c r="BG61" t="str">
        <f t="shared" si="10"/>
        <v>0.351360773</v>
      </c>
      <c r="BH61" t="str">
        <f t="shared" si="10"/>
        <v>0.921631101</v>
      </c>
      <c r="BI61" t="str">
        <f t="shared" si="10"/>
        <v>89.16103152</v>
      </c>
      <c r="BJ61" t="str">
        <f t="shared" si="10"/>
        <v>4.804756447</v>
      </c>
    </row>
    <row r="62" spans="1:62" x14ac:dyDescent="0.25">
      <c r="A62" s="3" t="s">
        <v>529</v>
      </c>
      <c r="B62" t="s">
        <v>463</v>
      </c>
      <c r="C62" t="s">
        <v>11</v>
      </c>
      <c r="D62" t="s">
        <v>298</v>
      </c>
      <c r="E62">
        <v>61</v>
      </c>
      <c r="F62">
        <v>7.7033302209999999</v>
      </c>
      <c r="G62">
        <v>21.18319185</v>
      </c>
      <c r="H62">
        <v>13.47986163</v>
      </c>
      <c r="I62">
        <v>257.47656419999998</v>
      </c>
      <c r="J62">
        <v>2577.6741579999998</v>
      </c>
      <c r="K62">
        <v>905.15898749999997</v>
      </c>
      <c r="L62">
        <v>15.09207726</v>
      </c>
      <c r="M62">
        <v>257.47656419999998</v>
      </c>
      <c r="N62">
        <v>15.09207726</v>
      </c>
      <c r="O62">
        <v>246.84765780000001</v>
      </c>
      <c r="P62">
        <v>0.809829837</v>
      </c>
      <c r="Q62">
        <v>0.99305332400000002</v>
      </c>
      <c r="R62">
        <v>0.452254832</v>
      </c>
      <c r="S62">
        <v>1.6546105149999999</v>
      </c>
      <c r="T62">
        <v>0.99625680100000003</v>
      </c>
      <c r="U62">
        <v>1.079008704</v>
      </c>
      <c r="V62">
        <v>19.96896855</v>
      </c>
      <c r="W62">
        <v>24.01231319</v>
      </c>
      <c r="X62">
        <v>3.9784556129999999</v>
      </c>
      <c r="Y62">
        <v>19.92982554</v>
      </c>
      <c r="Z62">
        <v>26.009234889999998</v>
      </c>
      <c r="AA62">
        <v>0.15838075600000001</v>
      </c>
      <c r="AB62">
        <v>4.9043560900000003</v>
      </c>
      <c r="AC62">
        <v>1.510030354</v>
      </c>
      <c r="AD62">
        <v>0.406881616</v>
      </c>
      <c r="AE62">
        <v>0.92070152299999997</v>
      </c>
      <c r="AF62">
        <v>99.232930510000003</v>
      </c>
      <c r="AG62">
        <v>1.7226023450000001</v>
      </c>
      <c r="AI62" t="str">
        <f t="shared" si="7"/>
        <v>7.703330221</v>
      </c>
      <c r="AJ62" t="str">
        <f t="shared" si="11"/>
        <v>21.18319185</v>
      </c>
      <c r="AK62" t="str">
        <f t="shared" si="11"/>
        <v>13.47986163</v>
      </c>
      <c r="AL62" t="str">
        <f t="shared" si="11"/>
        <v>257.4765642</v>
      </c>
      <c r="AM62" t="str">
        <f t="shared" si="11"/>
        <v>2577.674158</v>
      </c>
      <c r="AN62" t="str">
        <f t="shared" si="11"/>
        <v>905.1589875</v>
      </c>
      <c r="AO62" t="str">
        <f t="shared" si="11"/>
        <v>15.09207726</v>
      </c>
      <c r="AP62" t="str">
        <f t="shared" si="11"/>
        <v>257.4765642</v>
      </c>
      <c r="AQ62" t="str">
        <f t="shared" si="11"/>
        <v>15.09207726</v>
      </c>
      <c r="AR62" t="str">
        <f t="shared" si="11"/>
        <v>246.8476578</v>
      </c>
      <c r="AS62" t="str">
        <f t="shared" si="11"/>
        <v>0.809829837</v>
      </c>
      <c r="AT62" t="str">
        <f t="shared" si="11"/>
        <v>0.993053324</v>
      </c>
      <c r="AU62" t="str">
        <f t="shared" si="11"/>
        <v>0.452254832</v>
      </c>
      <c r="AV62" t="str">
        <f t="shared" si="11"/>
        <v>1.654610515</v>
      </c>
      <c r="AW62" t="str">
        <f t="shared" si="11"/>
        <v>0.996256801</v>
      </c>
      <c r="AX62" t="str">
        <f t="shared" si="11"/>
        <v>1.079008704</v>
      </c>
      <c r="AY62" t="str">
        <f t="shared" si="10"/>
        <v>19.96896855</v>
      </c>
      <c r="AZ62" t="str">
        <f t="shared" si="10"/>
        <v>24.01231319</v>
      </c>
      <c r="BA62" t="str">
        <f t="shared" si="10"/>
        <v>3.978455613</v>
      </c>
      <c r="BB62" t="str">
        <f t="shared" si="10"/>
        <v>19.92982554</v>
      </c>
      <c r="BC62" t="str">
        <f t="shared" si="10"/>
        <v>26.00923489</v>
      </c>
      <c r="BD62" t="str">
        <f t="shared" si="10"/>
        <v>0.158380756</v>
      </c>
      <c r="BE62" t="str">
        <f t="shared" si="10"/>
        <v>4.90435609</v>
      </c>
      <c r="BF62" t="str">
        <f t="shared" si="10"/>
        <v>1.510030354</v>
      </c>
      <c r="BG62" t="str">
        <f t="shared" si="10"/>
        <v>0.406881616</v>
      </c>
      <c r="BH62" t="str">
        <f t="shared" si="10"/>
        <v>0.920701523</v>
      </c>
      <c r="BI62" t="str">
        <f t="shared" si="10"/>
        <v>99.23293051</v>
      </c>
      <c r="BJ62" t="str">
        <f t="shared" si="10"/>
        <v>1.722602345</v>
      </c>
    </row>
    <row r="63" spans="1:62" x14ac:dyDescent="0.25">
      <c r="A63" s="3" t="s">
        <v>530</v>
      </c>
      <c r="B63" t="s">
        <v>464</v>
      </c>
      <c r="C63" t="s">
        <v>11</v>
      </c>
      <c r="D63" t="s">
        <v>299</v>
      </c>
      <c r="E63">
        <v>62</v>
      </c>
      <c r="F63">
        <v>7.7033302209999999</v>
      </c>
      <c r="G63">
        <v>21.18319185</v>
      </c>
      <c r="H63">
        <v>13.47986163</v>
      </c>
      <c r="I63">
        <v>257.47656419999998</v>
      </c>
      <c r="J63">
        <v>2577.6741579999998</v>
      </c>
      <c r="K63">
        <v>905.15898749999997</v>
      </c>
      <c r="L63">
        <v>15.09207726</v>
      </c>
      <c r="M63">
        <v>257.47656419999998</v>
      </c>
      <c r="N63">
        <v>15.09207726</v>
      </c>
      <c r="O63">
        <v>246.84765780000001</v>
      </c>
      <c r="P63">
        <v>0.809829837</v>
      </c>
      <c r="Q63">
        <v>0.99305332400000002</v>
      </c>
      <c r="R63">
        <v>0.452254832</v>
      </c>
      <c r="S63">
        <v>1.6546105149999999</v>
      </c>
      <c r="T63">
        <v>0.99625680100000003</v>
      </c>
      <c r="U63">
        <v>1.079008704</v>
      </c>
      <c r="V63">
        <v>19.96896855</v>
      </c>
      <c r="W63">
        <v>24.01231319</v>
      </c>
      <c r="X63">
        <v>3.9784556129999999</v>
      </c>
      <c r="Y63">
        <v>19.92982554</v>
      </c>
      <c r="Z63">
        <v>26.009234889999998</v>
      </c>
      <c r="AA63">
        <v>0.15838075600000001</v>
      </c>
      <c r="AB63">
        <v>4.9043560900000003</v>
      </c>
      <c r="AC63">
        <v>1.510030354</v>
      </c>
      <c r="AD63">
        <v>0.406881616</v>
      </c>
      <c r="AE63">
        <v>0.92070152299999997</v>
      </c>
      <c r="AF63">
        <v>99.232930510000003</v>
      </c>
      <c r="AG63">
        <v>1.7226023450000001</v>
      </c>
      <c r="AI63" t="str">
        <f t="shared" si="7"/>
        <v>7.703330221</v>
      </c>
      <c r="AJ63" t="str">
        <f t="shared" si="11"/>
        <v>21.18319185</v>
      </c>
      <c r="AK63" t="str">
        <f t="shared" si="11"/>
        <v>13.47986163</v>
      </c>
      <c r="AL63" t="str">
        <f t="shared" si="11"/>
        <v>257.4765642</v>
      </c>
      <c r="AM63" t="str">
        <f t="shared" si="11"/>
        <v>2577.674158</v>
      </c>
      <c r="AN63" t="str">
        <f t="shared" si="11"/>
        <v>905.1589875</v>
      </c>
      <c r="AO63" t="str">
        <f t="shared" si="11"/>
        <v>15.09207726</v>
      </c>
      <c r="AP63" t="str">
        <f t="shared" si="11"/>
        <v>257.4765642</v>
      </c>
      <c r="AQ63" t="str">
        <f t="shared" si="11"/>
        <v>15.09207726</v>
      </c>
      <c r="AR63" t="str">
        <f t="shared" si="11"/>
        <v>246.8476578</v>
      </c>
      <c r="AS63" t="str">
        <f t="shared" si="11"/>
        <v>0.809829837</v>
      </c>
      <c r="AT63" t="str">
        <f t="shared" si="11"/>
        <v>0.993053324</v>
      </c>
      <c r="AU63" t="str">
        <f t="shared" si="11"/>
        <v>0.452254832</v>
      </c>
      <c r="AV63" t="str">
        <f t="shared" si="11"/>
        <v>1.654610515</v>
      </c>
      <c r="AW63" t="str">
        <f t="shared" si="11"/>
        <v>0.996256801</v>
      </c>
      <c r="AX63" t="str">
        <f t="shared" si="11"/>
        <v>1.079008704</v>
      </c>
      <c r="AY63" t="str">
        <f t="shared" si="10"/>
        <v>19.96896855</v>
      </c>
      <c r="AZ63" t="str">
        <f t="shared" si="10"/>
        <v>24.01231319</v>
      </c>
      <c r="BA63" t="str">
        <f t="shared" si="10"/>
        <v>3.978455613</v>
      </c>
      <c r="BB63" t="str">
        <f t="shared" si="10"/>
        <v>19.92982554</v>
      </c>
      <c r="BC63" t="str">
        <f t="shared" si="10"/>
        <v>26.00923489</v>
      </c>
      <c r="BD63" t="str">
        <f t="shared" si="10"/>
        <v>0.158380756</v>
      </c>
      <c r="BE63" t="str">
        <f t="shared" si="10"/>
        <v>4.90435609</v>
      </c>
      <c r="BF63" t="str">
        <f t="shared" si="10"/>
        <v>1.510030354</v>
      </c>
      <c r="BG63" t="str">
        <f t="shared" si="10"/>
        <v>0.406881616</v>
      </c>
      <c r="BH63" t="str">
        <f t="shared" si="10"/>
        <v>0.920701523</v>
      </c>
      <c r="BI63" t="str">
        <f t="shared" si="10"/>
        <v>99.23293051</v>
      </c>
      <c r="BJ63" t="str">
        <f t="shared" si="10"/>
        <v>1.722602345</v>
      </c>
    </row>
    <row r="64" spans="1:62" x14ac:dyDescent="0.25">
      <c r="A64" s="3" t="s">
        <v>193</v>
      </c>
      <c r="B64" t="s">
        <v>465</v>
      </c>
      <c r="C64" t="s">
        <v>11</v>
      </c>
      <c r="D64" t="s">
        <v>300</v>
      </c>
      <c r="E64">
        <v>63</v>
      </c>
      <c r="F64">
        <v>7.7033302209999999</v>
      </c>
      <c r="G64">
        <v>21.18319185</v>
      </c>
      <c r="H64">
        <v>13.47986163</v>
      </c>
      <c r="I64">
        <v>257.47656419999998</v>
      </c>
      <c r="J64">
        <v>2577.6741579999998</v>
      </c>
      <c r="K64">
        <v>905.15898749999997</v>
      </c>
      <c r="L64">
        <v>15.09207726</v>
      </c>
      <c r="M64">
        <v>257.47656419999998</v>
      </c>
      <c r="N64">
        <v>15.09207726</v>
      </c>
      <c r="O64">
        <v>246.84765780000001</v>
      </c>
      <c r="P64">
        <v>0.809829837</v>
      </c>
      <c r="Q64">
        <v>0.99305332400000002</v>
      </c>
      <c r="R64">
        <v>0.452254832</v>
      </c>
      <c r="S64">
        <v>1.6546105149999999</v>
      </c>
      <c r="T64">
        <v>0.99625680100000003</v>
      </c>
      <c r="U64">
        <v>1.079008704</v>
      </c>
      <c r="V64">
        <v>19.96896855</v>
      </c>
      <c r="W64">
        <v>24.01231319</v>
      </c>
      <c r="X64">
        <v>3.9784556129999999</v>
      </c>
      <c r="Y64">
        <v>19.92982554</v>
      </c>
      <c r="Z64">
        <v>26.009234889999998</v>
      </c>
      <c r="AA64">
        <v>0.15838075600000001</v>
      </c>
      <c r="AB64">
        <v>4.9043560900000003</v>
      </c>
      <c r="AC64">
        <v>1.510030354</v>
      </c>
      <c r="AD64">
        <v>0.406881616</v>
      </c>
      <c r="AE64">
        <v>0.92070152299999997</v>
      </c>
      <c r="AF64">
        <v>99.232930510000003</v>
      </c>
      <c r="AG64">
        <v>1.7226023450000001</v>
      </c>
      <c r="AI64" t="str">
        <f t="shared" si="7"/>
        <v>7.703330221</v>
      </c>
      <c r="AJ64" t="str">
        <f t="shared" si="11"/>
        <v>21.18319185</v>
      </c>
      <c r="AK64" t="str">
        <f t="shared" si="11"/>
        <v>13.47986163</v>
      </c>
      <c r="AL64" t="str">
        <f t="shared" si="11"/>
        <v>257.4765642</v>
      </c>
      <c r="AM64" t="str">
        <f t="shared" si="11"/>
        <v>2577.674158</v>
      </c>
      <c r="AN64" t="str">
        <f t="shared" si="11"/>
        <v>905.1589875</v>
      </c>
      <c r="AO64" t="str">
        <f t="shared" si="11"/>
        <v>15.09207726</v>
      </c>
      <c r="AP64" t="str">
        <f t="shared" si="11"/>
        <v>257.4765642</v>
      </c>
      <c r="AQ64" t="str">
        <f t="shared" si="11"/>
        <v>15.09207726</v>
      </c>
      <c r="AR64" t="str">
        <f t="shared" si="11"/>
        <v>246.8476578</v>
      </c>
      <c r="AS64" t="str">
        <f t="shared" si="11"/>
        <v>0.809829837</v>
      </c>
      <c r="AT64" t="str">
        <f t="shared" si="11"/>
        <v>0.993053324</v>
      </c>
      <c r="AU64" t="str">
        <f t="shared" si="11"/>
        <v>0.452254832</v>
      </c>
      <c r="AV64" t="str">
        <f t="shared" si="11"/>
        <v>1.654610515</v>
      </c>
      <c r="AW64" t="str">
        <f t="shared" si="11"/>
        <v>0.996256801</v>
      </c>
      <c r="AX64" t="str">
        <f t="shared" si="11"/>
        <v>1.079008704</v>
      </c>
      <c r="AY64" t="str">
        <f t="shared" si="10"/>
        <v>19.96896855</v>
      </c>
      <c r="AZ64" t="str">
        <f t="shared" si="10"/>
        <v>24.01231319</v>
      </c>
      <c r="BA64" t="str">
        <f t="shared" si="10"/>
        <v>3.978455613</v>
      </c>
      <c r="BB64" t="str">
        <f t="shared" si="10"/>
        <v>19.92982554</v>
      </c>
      <c r="BC64" t="str">
        <f t="shared" si="10"/>
        <v>26.00923489</v>
      </c>
      <c r="BD64" t="str">
        <f t="shared" si="10"/>
        <v>0.158380756</v>
      </c>
      <c r="BE64" t="str">
        <f t="shared" si="10"/>
        <v>4.90435609</v>
      </c>
      <c r="BF64" t="str">
        <f t="shared" si="10"/>
        <v>1.510030354</v>
      </c>
      <c r="BG64" t="str">
        <f t="shared" si="10"/>
        <v>0.406881616</v>
      </c>
      <c r="BH64" t="str">
        <f t="shared" si="10"/>
        <v>0.920701523</v>
      </c>
      <c r="BI64" t="str">
        <f t="shared" si="10"/>
        <v>99.23293051</v>
      </c>
      <c r="BJ64" t="str">
        <f t="shared" si="10"/>
        <v>1.722602345</v>
      </c>
    </row>
    <row r="65" spans="1:62" x14ac:dyDescent="0.25">
      <c r="A65" s="3" t="s">
        <v>531</v>
      </c>
      <c r="B65" t="s">
        <v>466</v>
      </c>
      <c r="C65" t="s">
        <v>11</v>
      </c>
      <c r="D65" t="s">
        <v>301</v>
      </c>
      <c r="E65">
        <v>64</v>
      </c>
      <c r="F65">
        <v>1.34990564</v>
      </c>
      <c r="G65">
        <v>22.803858529999999</v>
      </c>
      <c r="H65">
        <v>21.45395289</v>
      </c>
      <c r="I65">
        <v>342.81115219999998</v>
      </c>
      <c r="J65">
        <v>4035.9301540000001</v>
      </c>
      <c r="K65">
        <v>3557.480834</v>
      </c>
      <c r="L65">
        <v>20.038032730000001</v>
      </c>
      <c r="M65">
        <v>342.84963210000001</v>
      </c>
      <c r="N65">
        <v>20.038032730000001</v>
      </c>
      <c r="O65">
        <v>187.95731710000001</v>
      </c>
      <c r="P65">
        <v>0.33394308900000003</v>
      </c>
      <c r="Q65">
        <v>0.97849593499999998</v>
      </c>
      <c r="R65">
        <v>0.60901718900000001</v>
      </c>
      <c r="S65">
        <v>2.0328252029999998</v>
      </c>
      <c r="T65">
        <v>0.50447412999999997</v>
      </c>
      <c r="U65">
        <v>1.732190981</v>
      </c>
      <c r="V65">
        <v>15.62398374</v>
      </c>
      <c r="W65">
        <v>25.339430889999999</v>
      </c>
      <c r="X65">
        <v>1.756097561</v>
      </c>
      <c r="Y65">
        <v>15.214430889999999</v>
      </c>
      <c r="Z65">
        <v>27.337398369999999</v>
      </c>
      <c r="AA65">
        <v>0.12093495899999999</v>
      </c>
      <c r="AB65">
        <v>1.8838922760000001</v>
      </c>
      <c r="AC65">
        <v>0.39024390199999998</v>
      </c>
      <c r="AD65">
        <v>2.6872383999999999E-2</v>
      </c>
      <c r="AE65">
        <v>0.98747226899999996</v>
      </c>
      <c r="AF65">
        <v>72.151677199999995</v>
      </c>
      <c r="AG65">
        <v>2.7646734730000002</v>
      </c>
      <c r="AI65" t="str">
        <f t="shared" si="7"/>
        <v>1.34990564</v>
      </c>
      <c r="AJ65" t="str">
        <f t="shared" si="11"/>
        <v>22.80385853</v>
      </c>
      <c r="AK65" t="str">
        <f t="shared" si="11"/>
        <v>21.45395289</v>
      </c>
      <c r="AL65" t="str">
        <f t="shared" si="11"/>
        <v>342.8111522</v>
      </c>
      <c r="AM65" t="str">
        <f t="shared" si="11"/>
        <v>4035.930154</v>
      </c>
      <c r="AN65" t="str">
        <f t="shared" si="11"/>
        <v>3557.480834</v>
      </c>
      <c r="AO65" t="str">
        <f t="shared" si="11"/>
        <v>20.03803273</v>
      </c>
      <c r="AP65" t="str">
        <f t="shared" si="11"/>
        <v>342.8496321</v>
      </c>
      <c r="AQ65" t="str">
        <f t="shared" si="11"/>
        <v>20.03803273</v>
      </c>
      <c r="AR65" t="str">
        <f t="shared" si="11"/>
        <v>187.9573171</v>
      </c>
      <c r="AS65" t="str">
        <f t="shared" si="11"/>
        <v>0.333943089</v>
      </c>
      <c r="AT65" t="str">
        <f t="shared" si="11"/>
        <v>0.978495935</v>
      </c>
      <c r="AU65" t="str">
        <f t="shared" si="11"/>
        <v>0.609017189</v>
      </c>
      <c r="AV65" t="str">
        <f t="shared" si="11"/>
        <v>2.032825203</v>
      </c>
      <c r="AW65" t="str">
        <f t="shared" si="11"/>
        <v>0.50447413</v>
      </c>
      <c r="AX65" t="str">
        <f t="shared" si="11"/>
        <v>1.732190981</v>
      </c>
      <c r="AY65" t="str">
        <f t="shared" si="10"/>
        <v>15.62398374</v>
      </c>
      <c r="AZ65" t="str">
        <f t="shared" si="10"/>
        <v>25.33943089</v>
      </c>
      <c r="BA65" t="str">
        <f t="shared" si="10"/>
        <v>1.756097561</v>
      </c>
      <c r="BB65" t="str">
        <f t="shared" si="10"/>
        <v>15.21443089</v>
      </c>
      <c r="BC65" t="str">
        <f t="shared" si="10"/>
        <v>27.33739837</v>
      </c>
      <c r="BD65" t="str">
        <f t="shared" si="10"/>
        <v>0.120934959</v>
      </c>
      <c r="BE65" t="str">
        <f t="shared" si="10"/>
        <v>1.883892276</v>
      </c>
      <c r="BF65" t="str">
        <f t="shared" si="10"/>
        <v>0.390243902</v>
      </c>
      <c r="BG65" t="str">
        <f t="shared" si="10"/>
        <v>0.026872384</v>
      </c>
      <c r="BH65" t="str">
        <f t="shared" si="10"/>
        <v>0.987472269</v>
      </c>
      <c r="BI65" t="str">
        <f t="shared" si="10"/>
        <v>72.1516772</v>
      </c>
      <c r="BJ65" t="str">
        <f t="shared" si="10"/>
        <v>2.764673473</v>
      </c>
    </row>
    <row r="66" spans="1:62" x14ac:dyDescent="0.25">
      <c r="A66" s="3" t="s">
        <v>532</v>
      </c>
      <c r="B66" t="s">
        <v>467</v>
      </c>
      <c r="C66" t="s">
        <v>11</v>
      </c>
      <c r="D66" t="s">
        <v>302</v>
      </c>
      <c r="E66">
        <v>65</v>
      </c>
      <c r="F66">
        <v>1.34990564</v>
      </c>
      <c r="G66">
        <v>22.803858529999999</v>
      </c>
      <c r="H66">
        <v>21.45395289</v>
      </c>
      <c r="I66">
        <v>342.81115219999998</v>
      </c>
      <c r="J66">
        <v>4035.9301540000001</v>
      </c>
      <c r="K66">
        <v>3557.480834</v>
      </c>
      <c r="L66">
        <v>20.038032730000001</v>
      </c>
      <c r="M66">
        <v>342.84963210000001</v>
      </c>
      <c r="N66">
        <v>20.038032730000001</v>
      </c>
      <c r="O66">
        <v>187.95731710000001</v>
      </c>
      <c r="P66">
        <v>0.33394308900000003</v>
      </c>
      <c r="Q66">
        <v>0.97849593499999998</v>
      </c>
      <c r="R66">
        <v>0.60901718900000001</v>
      </c>
      <c r="S66">
        <v>2.0328252029999998</v>
      </c>
      <c r="T66">
        <v>0.50447412999999997</v>
      </c>
      <c r="U66">
        <v>1.732190981</v>
      </c>
      <c r="V66">
        <v>15.62398374</v>
      </c>
      <c r="W66">
        <v>25.339430889999999</v>
      </c>
      <c r="X66">
        <v>1.756097561</v>
      </c>
      <c r="Y66">
        <v>15.214430889999999</v>
      </c>
      <c r="Z66">
        <v>27.337398369999999</v>
      </c>
      <c r="AA66">
        <v>0.12093495899999999</v>
      </c>
      <c r="AB66">
        <v>1.8838922760000001</v>
      </c>
      <c r="AC66">
        <v>0.39024390199999998</v>
      </c>
      <c r="AD66">
        <v>2.6872383999999999E-2</v>
      </c>
      <c r="AE66">
        <v>0.98747226899999996</v>
      </c>
      <c r="AF66">
        <v>72.151677199999995</v>
      </c>
      <c r="AG66">
        <v>2.7646734730000002</v>
      </c>
      <c r="AI66" t="str">
        <f t="shared" ref="AI66:AI97" si="12">IF(MID(F66,2,1)=",",_xlfn.TEXTJOIN(".",FALSE,MID(F66,1,1),MID(F66,3,LEN(F66)-2)),IF(MID(F66,3,1)=",",_xlfn.TEXTJOIN(".",FALSE,MID(F66,1,2),MID(F66,4,LEN(F66)-3)),IF(MID(F66,4,1)=",",_xlfn.TEXTJOIN(".",FALSE,MID(F66,1,3),MID(F66,5,LEN(F66)-4)),IF(MID(F66,5,1)=",",_xlfn.TEXTJOIN(".",FALSE,MID(F66,1,4),MID(F66,6,LEN(F66)-5)),F66))))</f>
        <v>1.34990564</v>
      </c>
      <c r="AJ66" t="str">
        <f t="shared" si="11"/>
        <v>22.80385853</v>
      </c>
      <c r="AK66" t="str">
        <f t="shared" si="11"/>
        <v>21.45395289</v>
      </c>
      <c r="AL66" t="str">
        <f t="shared" si="11"/>
        <v>342.8111522</v>
      </c>
      <c r="AM66" t="str">
        <f t="shared" si="11"/>
        <v>4035.930154</v>
      </c>
      <c r="AN66" t="str">
        <f t="shared" si="11"/>
        <v>3557.480834</v>
      </c>
      <c r="AO66" t="str">
        <f t="shared" si="11"/>
        <v>20.03803273</v>
      </c>
      <c r="AP66" t="str">
        <f t="shared" si="11"/>
        <v>342.8496321</v>
      </c>
      <c r="AQ66" t="str">
        <f t="shared" si="11"/>
        <v>20.03803273</v>
      </c>
      <c r="AR66" t="str">
        <f t="shared" si="11"/>
        <v>187.9573171</v>
      </c>
      <c r="AS66" t="str">
        <f t="shared" si="11"/>
        <v>0.333943089</v>
      </c>
      <c r="AT66" t="str">
        <f t="shared" si="11"/>
        <v>0.978495935</v>
      </c>
      <c r="AU66" t="str">
        <f t="shared" si="11"/>
        <v>0.609017189</v>
      </c>
      <c r="AV66" t="str">
        <f t="shared" si="11"/>
        <v>2.032825203</v>
      </c>
      <c r="AW66" t="str">
        <f t="shared" si="11"/>
        <v>0.50447413</v>
      </c>
      <c r="AX66" t="str">
        <f t="shared" si="11"/>
        <v>1.732190981</v>
      </c>
      <c r="AY66" t="str">
        <f t="shared" si="10"/>
        <v>15.62398374</v>
      </c>
      <c r="AZ66" t="str">
        <f t="shared" si="10"/>
        <v>25.33943089</v>
      </c>
      <c r="BA66" t="str">
        <f t="shared" si="10"/>
        <v>1.756097561</v>
      </c>
      <c r="BB66" t="str">
        <f t="shared" si="10"/>
        <v>15.21443089</v>
      </c>
      <c r="BC66" t="str">
        <f t="shared" si="10"/>
        <v>27.33739837</v>
      </c>
      <c r="BD66" t="str">
        <f t="shared" si="10"/>
        <v>0.120934959</v>
      </c>
      <c r="BE66" t="str">
        <f t="shared" si="10"/>
        <v>1.883892276</v>
      </c>
      <c r="BF66" t="str">
        <f t="shared" si="10"/>
        <v>0.390243902</v>
      </c>
      <c r="BG66" t="str">
        <f t="shared" si="10"/>
        <v>0.026872384</v>
      </c>
      <c r="BH66" t="str">
        <f t="shared" si="10"/>
        <v>0.987472269</v>
      </c>
      <c r="BI66" t="str">
        <f t="shared" si="10"/>
        <v>72.1516772</v>
      </c>
      <c r="BJ66" t="str">
        <f t="shared" si="10"/>
        <v>2.764673473</v>
      </c>
    </row>
    <row r="67" spans="1:62" x14ac:dyDescent="0.25">
      <c r="A67" s="3" t="s">
        <v>533</v>
      </c>
      <c r="B67" t="s">
        <v>468</v>
      </c>
      <c r="C67" t="s">
        <v>11</v>
      </c>
      <c r="D67" t="s">
        <v>303</v>
      </c>
      <c r="E67">
        <v>66</v>
      </c>
      <c r="F67">
        <v>7.7033302209999999</v>
      </c>
      <c r="G67">
        <v>21.18319185</v>
      </c>
      <c r="H67">
        <v>13.47986163</v>
      </c>
      <c r="I67">
        <v>257.47656419999998</v>
      </c>
      <c r="J67">
        <v>2577.6741579999998</v>
      </c>
      <c r="K67">
        <v>905.15898749999997</v>
      </c>
      <c r="L67">
        <v>15.09207726</v>
      </c>
      <c r="M67">
        <v>257.47656419999998</v>
      </c>
      <c r="N67">
        <v>15.09207726</v>
      </c>
      <c r="O67">
        <v>246.84765780000001</v>
      </c>
      <c r="P67">
        <v>0.809829837</v>
      </c>
      <c r="Q67">
        <v>0.99305332400000002</v>
      </c>
      <c r="R67">
        <v>0.452254832</v>
      </c>
      <c r="S67">
        <v>1.6546105149999999</v>
      </c>
      <c r="T67">
        <v>0.99625680100000003</v>
      </c>
      <c r="U67">
        <v>1.079008704</v>
      </c>
      <c r="V67">
        <v>19.96896855</v>
      </c>
      <c r="W67">
        <v>24.01231319</v>
      </c>
      <c r="X67">
        <v>3.9784556129999999</v>
      </c>
      <c r="Y67">
        <v>19.92982554</v>
      </c>
      <c r="Z67">
        <v>26.009234889999998</v>
      </c>
      <c r="AA67">
        <v>0.15838075600000001</v>
      </c>
      <c r="AB67">
        <v>4.9043560900000003</v>
      </c>
      <c r="AC67">
        <v>1.510030354</v>
      </c>
      <c r="AD67">
        <v>0.406881616</v>
      </c>
      <c r="AE67">
        <v>0.92070152299999997</v>
      </c>
      <c r="AF67">
        <v>99.232930510000003</v>
      </c>
      <c r="AG67">
        <v>1.7226023450000001</v>
      </c>
      <c r="AI67" t="str">
        <f t="shared" si="12"/>
        <v>7.703330221</v>
      </c>
      <c r="AJ67" t="str">
        <f t="shared" si="11"/>
        <v>21.18319185</v>
      </c>
      <c r="AK67" t="str">
        <f t="shared" si="11"/>
        <v>13.47986163</v>
      </c>
      <c r="AL67" t="str">
        <f t="shared" si="11"/>
        <v>257.4765642</v>
      </c>
      <c r="AM67" t="str">
        <f t="shared" si="11"/>
        <v>2577.674158</v>
      </c>
      <c r="AN67" t="str">
        <f t="shared" si="11"/>
        <v>905.1589875</v>
      </c>
      <c r="AO67" t="str">
        <f t="shared" si="11"/>
        <v>15.09207726</v>
      </c>
      <c r="AP67" t="str">
        <f t="shared" si="11"/>
        <v>257.4765642</v>
      </c>
      <c r="AQ67" t="str">
        <f t="shared" si="11"/>
        <v>15.09207726</v>
      </c>
      <c r="AR67" t="str">
        <f t="shared" si="11"/>
        <v>246.8476578</v>
      </c>
      <c r="AS67" t="str">
        <f t="shared" si="11"/>
        <v>0.809829837</v>
      </c>
      <c r="AT67" t="str">
        <f t="shared" si="11"/>
        <v>0.993053324</v>
      </c>
      <c r="AU67" t="str">
        <f t="shared" si="11"/>
        <v>0.452254832</v>
      </c>
      <c r="AV67" t="str">
        <f t="shared" si="11"/>
        <v>1.654610515</v>
      </c>
      <c r="AW67" t="str">
        <f t="shared" si="11"/>
        <v>0.996256801</v>
      </c>
      <c r="AX67" t="str">
        <f t="shared" si="11"/>
        <v>1.079008704</v>
      </c>
      <c r="AY67" t="str">
        <f t="shared" si="10"/>
        <v>19.96896855</v>
      </c>
      <c r="AZ67" t="str">
        <f t="shared" si="10"/>
        <v>24.01231319</v>
      </c>
      <c r="BA67" t="str">
        <f t="shared" si="10"/>
        <v>3.978455613</v>
      </c>
      <c r="BB67" t="str">
        <f t="shared" si="10"/>
        <v>19.92982554</v>
      </c>
      <c r="BC67" t="str">
        <f t="shared" si="10"/>
        <v>26.00923489</v>
      </c>
      <c r="BD67" t="str">
        <f t="shared" si="10"/>
        <v>0.158380756</v>
      </c>
      <c r="BE67" t="str">
        <f t="shared" si="10"/>
        <v>4.90435609</v>
      </c>
      <c r="BF67" t="str">
        <f t="shared" si="10"/>
        <v>1.510030354</v>
      </c>
      <c r="BG67" t="str">
        <f t="shared" si="10"/>
        <v>0.406881616</v>
      </c>
      <c r="BH67" t="str">
        <f t="shared" si="10"/>
        <v>0.920701523</v>
      </c>
      <c r="BI67" t="str">
        <f t="shared" si="10"/>
        <v>99.23293051</v>
      </c>
      <c r="BJ67" t="str">
        <f t="shared" si="10"/>
        <v>1.722602345</v>
      </c>
    </row>
    <row r="68" spans="1:62" x14ac:dyDescent="0.25">
      <c r="A68" s="3" t="s">
        <v>534</v>
      </c>
      <c r="B68" t="s">
        <v>469</v>
      </c>
      <c r="C68" t="s">
        <v>11</v>
      </c>
      <c r="D68" t="s">
        <v>13</v>
      </c>
      <c r="E68">
        <v>67</v>
      </c>
      <c r="F68">
        <v>7.7705557360000004</v>
      </c>
      <c r="G68">
        <v>21.276302179999998</v>
      </c>
      <c r="H68">
        <v>13.50574645</v>
      </c>
      <c r="I68">
        <v>323.67580579999998</v>
      </c>
      <c r="J68">
        <v>3233.8133659999999</v>
      </c>
      <c r="K68">
        <v>1233.113836</v>
      </c>
      <c r="L68">
        <v>15.260426170000001</v>
      </c>
      <c r="M68">
        <v>323.67580579999998</v>
      </c>
      <c r="N68">
        <v>15.233546199999999</v>
      </c>
      <c r="O68">
        <v>277.24550900000003</v>
      </c>
      <c r="P68">
        <v>0.39021956099999999</v>
      </c>
      <c r="Q68">
        <v>0.98581836300000003</v>
      </c>
      <c r="R68">
        <v>0.19745964699999999</v>
      </c>
      <c r="S68">
        <v>1.6314870260000001</v>
      </c>
      <c r="T68">
        <v>0.99715632099999996</v>
      </c>
      <c r="U68">
        <v>1.0786751160000001</v>
      </c>
      <c r="V68">
        <v>20.657684629999999</v>
      </c>
      <c r="W68">
        <v>24.06387226</v>
      </c>
      <c r="X68">
        <v>3.7205588820000002</v>
      </c>
      <c r="Y68">
        <v>19.145708580000001</v>
      </c>
      <c r="Z68">
        <v>26.047904190000001</v>
      </c>
      <c r="AA68">
        <v>0.72055888199999996</v>
      </c>
      <c r="AB68">
        <v>10.95828343</v>
      </c>
      <c r="AC68">
        <v>2.138223553</v>
      </c>
      <c r="AD68">
        <v>0.41244546500000001</v>
      </c>
      <c r="AE68">
        <v>0.91202691499999999</v>
      </c>
      <c r="AF68">
        <v>91.253095270000003</v>
      </c>
      <c r="AG68">
        <v>10.629968720000001</v>
      </c>
      <c r="AI68" t="str">
        <f t="shared" si="12"/>
        <v>7.770555736</v>
      </c>
      <c r="AJ68" t="str">
        <f t="shared" si="11"/>
        <v>21.27630218</v>
      </c>
      <c r="AK68" t="str">
        <f t="shared" si="11"/>
        <v>13.50574645</v>
      </c>
      <c r="AL68" t="str">
        <f t="shared" si="11"/>
        <v>323.6758058</v>
      </c>
      <c r="AM68" t="str">
        <f t="shared" si="11"/>
        <v>3233.813366</v>
      </c>
      <c r="AN68" t="str">
        <f t="shared" si="11"/>
        <v>1233.113836</v>
      </c>
      <c r="AO68" t="str">
        <f t="shared" si="11"/>
        <v>15.26042617</v>
      </c>
      <c r="AP68" t="str">
        <f t="shared" si="11"/>
        <v>323.6758058</v>
      </c>
      <c r="AQ68" t="str">
        <f t="shared" si="11"/>
        <v>15.2335462</v>
      </c>
      <c r="AR68" t="str">
        <f t="shared" si="11"/>
        <v>277.245509</v>
      </c>
      <c r="AS68" t="str">
        <f t="shared" si="11"/>
        <v>0.390219561</v>
      </c>
      <c r="AT68" t="str">
        <f t="shared" si="11"/>
        <v>0.985818363</v>
      </c>
      <c r="AU68" t="str">
        <f t="shared" si="11"/>
        <v>0.197459647</v>
      </c>
      <c r="AV68" t="str">
        <f t="shared" si="11"/>
        <v>1.631487026</v>
      </c>
      <c r="AW68" t="str">
        <f t="shared" si="11"/>
        <v>0.997156321</v>
      </c>
      <c r="AX68" t="str">
        <f t="shared" si="11"/>
        <v>1.078675116</v>
      </c>
      <c r="AY68" t="str">
        <f t="shared" si="10"/>
        <v>20.65768463</v>
      </c>
      <c r="AZ68" t="str">
        <f t="shared" si="10"/>
        <v>24.06387226</v>
      </c>
      <c r="BA68" t="str">
        <f t="shared" si="10"/>
        <v>3.720558882</v>
      </c>
      <c r="BB68" t="str">
        <f t="shared" si="10"/>
        <v>19.14570858</v>
      </c>
      <c r="BC68" t="str">
        <f t="shared" si="10"/>
        <v>26.04790419</v>
      </c>
      <c r="BD68" t="str">
        <f t="shared" si="10"/>
        <v>0.720558882</v>
      </c>
      <c r="BE68" t="str">
        <f t="shared" si="10"/>
        <v>10.95828343</v>
      </c>
      <c r="BF68" t="str">
        <f t="shared" si="10"/>
        <v>2.138223553</v>
      </c>
      <c r="BG68" t="str">
        <f t="shared" si="10"/>
        <v>0.412445465</v>
      </c>
      <c r="BH68" t="str">
        <f t="shared" si="10"/>
        <v>0.912026915</v>
      </c>
      <c r="BI68" t="str">
        <f t="shared" si="10"/>
        <v>91.25309527</v>
      </c>
      <c r="BJ68" t="str">
        <f t="shared" si="10"/>
        <v>10.62996872</v>
      </c>
    </row>
    <row r="69" spans="1:62" x14ac:dyDescent="0.25">
      <c r="A69" s="3" t="s">
        <v>535</v>
      </c>
      <c r="B69" t="s">
        <v>470</v>
      </c>
      <c r="C69" t="s">
        <v>11</v>
      </c>
      <c r="D69" t="s">
        <v>304</v>
      </c>
      <c r="E69">
        <v>68</v>
      </c>
      <c r="F69">
        <v>6.9176377420000001</v>
      </c>
      <c r="G69">
        <v>19.099838299999998</v>
      </c>
      <c r="H69">
        <v>12.18220056</v>
      </c>
      <c r="I69">
        <v>269.93627939999999</v>
      </c>
      <c r="J69">
        <v>2585.364368</v>
      </c>
      <c r="K69">
        <v>784.79118029999995</v>
      </c>
      <c r="L69">
        <v>14.161129989999999</v>
      </c>
      <c r="M69">
        <v>269.93627939999999</v>
      </c>
      <c r="N69">
        <v>14.02230851</v>
      </c>
      <c r="O69">
        <v>226.98574339999999</v>
      </c>
      <c r="P69">
        <v>0.74460285100000001</v>
      </c>
      <c r="Q69">
        <v>0.97817718899999995</v>
      </c>
      <c r="R69">
        <v>0.56759409299999997</v>
      </c>
      <c r="S69">
        <v>1.292617108</v>
      </c>
      <c r="T69">
        <v>0.96626991500000003</v>
      </c>
      <c r="U69">
        <v>1.0691105569999999</v>
      </c>
      <c r="V69">
        <v>21.067209779999999</v>
      </c>
      <c r="W69">
        <v>24.048879840000001</v>
      </c>
      <c r="X69">
        <v>3.8085539709999998</v>
      </c>
      <c r="Y69">
        <v>20.0305499</v>
      </c>
      <c r="Z69">
        <v>26.036659879999998</v>
      </c>
      <c r="AA69">
        <v>0.46945010199999998</v>
      </c>
      <c r="AB69">
        <v>10.461507129999999</v>
      </c>
      <c r="AC69">
        <v>2.401476578</v>
      </c>
      <c r="AD69">
        <v>0.38335361499999998</v>
      </c>
      <c r="AE69">
        <v>0.889533884</v>
      </c>
      <c r="AF69">
        <v>71.5759635</v>
      </c>
      <c r="AG69">
        <v>7.3153577319999998</v>
      </c>
      <c r="AI69" t="str">
        <f t="shared" si="12"/>
        <v>6.917637742</v>
      </c>
      <c r="AJ69" t="str">
        <f t="shared" si="11"/>
        <v>19.0998383</v>
      </c>
      <c r="AK69" t="str">
        <f t="shared" si="11"/>
        <v>12.18220056</v>
      </c>
      <c r="AL69" t="str">
        <f t="shared" si="11"/>
        <v>269.9362794</v>
      </c>
      <c r="AM69" t="str">
        <f t="shared" si="11"/>
        <v>2585.364368</v>
      </c>
      <c r="AN69" t="str">
        <f t="shared" si="11"/>
        <v>784.7911803</v>
      </c>
      <c r="AO69" t="str">
        <f t="shared" si="11"/>
        <v>14.16112999</v>
      </c>
      <c r="AP69" t="str">
        <f t="shared" si="11"/>
        <v>269.9362794</v>
      </c>
      <c r="AQ69" t="str">
        <f t="shared" si="11"/>
        <v>14.02230851</v>
      </c>
      <c r="AR69" t="str">
        <f t="shared" si="11"/>
        <v>226.9857434</v>
      </c>
      <c r="AS69" t="str">
        <f t="shared" si="11"/>
        <v>0.744602851</v>
      </c>
      <c r="AT69" t="str">
        <f t="shared" si="11"/>
        <v>0.978177189</v>
      </c>
      <c r="AU69" t="str">
        <f t="shared" si="11"/>
        <v>0.567594093</v>
      </c>
      <c r="AV69" t="str">
        <f t="shared" si="11"/>
        <v>1.292617108</v>
      </c>
      <c r="AW69" t="str">
        <f t="shared" si="11"/>
        <v>0.966269915</v>
      </c>
      <c r="AX69" t="str">
        <f t="shared" si="11"/>
        <v>1.069110557</v>
      </c>
      <c r="AY69" t="str">
        <f t="shared" si="10"/>
        <v>21.06720978</v>
      </c>
      <c r="AZ69" t="str">
        <f t="shared" si="10"/>
        <v>24.04887984</v>
      </c>
      <c r="BA69" t="str">
        <f t="shared" si="10"/>
        <v>3.808553971</v>
      </c>
      <c r="BB69" t="str">
        <f t="shared" si="10"/>
        <v>20.0305499</v>
      </c>
      <c r="BC69" t="str">
        <f t="shared" si="10"/>
        <v>26.03665988</v>
      </c>
      <c r="BD69" t="str">
        <f t="shared" si="10"/>
        <v>0.469450102</v>
      </c>
      <c r="BE69" t="str">
        <f t="shared" si="10"/>
        <v>10.46150713</v>
      </c>
      <c r="BF69" t="str">
        <f t="shared" si="10"/>
        <v>2.401476578</v>
      </c>
      <c r="BG69" t="str">
        <f t="shared" si="10"/>
        <v>0.383353615</v>
      </c>
      <c r="BH69" t="str">
        <f t="shared" si="10"/>
        <v>0.889533884</v>
      </c>
      <c r="BI69" t="str">
        <f t="shared" si="10"/>
        <v>71.5759635</v>
      </c>
      <c r="BJ69" t="str">
        <f t="shared" si="10"/>
        <v>7.315357732</v>
      </c>
    </row>
    <row r="70" spans="1:62" x14ac:dyDescent="0.25">
      <c r="A70" s="3" t="s">
        <v>536</v>
      </c>
      <c r="B70" t="s">
        <v>471</v>
      </c>
      <c r="C70" t="s">
        <v>247</v>
      </c>
      <c r="D70" s="26"/>
      <c r="E70">
        <v>69</v>
      </c>
      <c r="F70">
        <v>4.877438604</v>
      </c>
      <c r="G70">
        <v>17.15196779</v>
      </c>
      <c r="H70">
        <v>12.27452918</v>
      </c>
      <c r="I70">
        <v>304.49549789999998</v>
      </c>
      <c r="J70">
        <v>2038.4502190000001</v>
      </c>
      <c r="K70">
        <v>1728.692544</v>
      </c>
      <c r="L70">
        <v>17.24155734</v>
      </c>
      <c r="M70">
        <v>304.56167340000002</v>
      </c>
      <c r="N70">
        <v>17.24155734</v>
      </c>
      <c r="O70">
        <v>214.8743719</v>
      </c>
      <c r="P70">
        <v>0.72582914600000004</v>
      </c>
      <c r="Q70">
        <v>0.98849246199999996</v>
      </c>
      <c r="R70">
        <v>0.43811365200000002</v>
      </c>
      <c r="S70">
        <v>1.526432161</v>
      </c>
      <c r="T70">
        <v>0.77619867600000003</v>
      </c>
      <c r="U70">
        <v>1.057946746</v>
      </c>
      <c r="V70">
        <v>21.012060300000002</v>
      </c>
      <c r="W70">
        <v>24.0241206</v>
      </c>
      <c r="X70">
        <v>2.9306532660000002</v>
      </c>
      <c r="Y70">
        <v>20.003015080000001</v>
      </c>
      <c r="Z70">
        <v>26.018090449999999</v>
      </c>
      <c r="AA70">
        <v>0.67839196000000002</v>
      </c>
      <c r="AB70">
        <v>11.829547740000001</v>
      </c>
      <c r="AC70">
        <v>1.7532663319999999</v>
      </c>
      <c r="AD70">
        <v>0.37665169100000001</v>
      </c>
      <c r="AE70">
        <v>0.76108173999999995</v>
      </c>
      <c r="AF70">
        <v>71.208212639999999</v>
      </c>
      <c r="AG70">
        <v>18.026852959999999</v>
      </c>
      <c r="AI70" t="str">
        <f t="shared" si="12"/>
        <v>4.877438604</v>
      </c>
      <c r="AJ70" t="str">
        <f t="shared" si="11"/>
        <v>17.15196779</v>
      </c>
      <c r="AK70" t="str">
        <f t="shared" si="11"/>
        <v>12.27452918</v>
      </c>
      <c r="AL70" t="str">
        <f t="shared" si="11"/>
        <v>304.4954979</v>
      </c>
      <c r="AM70" t="str">
        <f t="shared" si="11"/>
        <v>2038.450219</v>
      </c>
      <c r="AN70" t="str">
        <f t="shared" si="11"/>
        <v>1728.692544</v>
      </c>
      <c r="AO70" t="str">
        <f t="shared" si="11"/>
        <v>17.24155734</v>
      </c>
      <c r="AP70" t="str">
        <f t="shared" si="11"/>
        <v>304.5616734</v>
      </c>
      <c r="AQ70" t="str">
        <f t="shared" si="11"/>
        <v>17.24155734</v>
      </c>
      <c r="AR70" t="str">
        <f t="shared" si="11"/>
        <v>214.8743719</v>
      </c>
      <c r="AS70" t="str">
        <f t="shared" si="11"/>
        <v>0.725829146</v>
      </c>
      <c r="AT70" t="str">
        <f t="shared" si="11"/>
        <v>0.988492462</v>
      </c>
      <c r="AU70" t="str">
        <f t="shared" si="11"/>
        <v>0.438113652</v>
      </c>
      <c r="AV70" t="str">
        <f t="shared" si="11"/>
        <v>1.526432161</v>
      </c>
      <c r="AW70" t="str">
        <f t="shared" si="11"/>
        <v>0.776198676</v>
      </c>
      <c r="AX70" t="str">
        <f t="shared" si="11"/>
        <v>1.057946746</v>
      </c>
      <c r="AY70" t="str">
        <f t="shared" si="10"/>
        <v>21.0120603</v>
      </c>
      <c r="AZ70" t="str">
        <f t="shared" si="10"/>
        <v>24.0241206</v>
      </c>
      <c r="BA70" t="str">
        <f t="shared" si="10"/>
        <v>2.930653266</v>
      </c>
      <c r="BB70" t="str">
        <f t="shared" si="10"/>
        <v>20.00301508</v>
      </c>
      <c r="BC70" t="str">
        <f t="shared" si="10"/>
        <v>26.01809045</v>
      </c>
      <c r="BD70" t="str">
        <f t="shared" si="10"/>
        <v>0.67839196</v>
      </c>
      <c r="BE70" t="str">
        <f t="shared" si="10"/>
        <v>11.82954774</v>
      </c>
      <c r="BF70" t="str">
        <f t="shared" si="10"/>
        <v>1.753266332</v>
      </c>
      <c r="BG70" t="str">
        <f t="shared" si="10"/>
        <v>0.376651691</v>
      </c>
      <c r="BH70" t="str">
        <f t="shared" si="10"/>
        <v>0.76108174</v>
      </c>
      <c r="BI70" t="str">
        <f t="shared" si="10"/>
        <v>71.20821264</v>
      </c>
      <c r="BJ70" t="str">
        <f t="shared" si="10"/>
        <v>18.02685296</v>
      </c>
    </row>
    <row r="71" spans="1:62" x14ac:dyDescent="0.25">
      <c r="A71" s="3" t="s">
        <v>177</v>
      </c>
      <c r="B71" t="s">
        <v>472</v>
      </c>
      <c r="C71" t="s">
        <v>247</v>
      </c>
      <c r="D71" t="s">
        <v>305</v>
      </c>
      <c r="E71">
        <v>70</v>
      </c>
      <c r="F71">
        <v>2.1396869700000001</v>
      </c>
      <c r="G71">
        <v>14.1161548</v>
      </c>
      <c r="H71">
        <v>11.976467830000001</v>
      </c>
      <c r="I71">
        <v>318.78623140000002</v>
      </c>
      <c r="J71">
        <v>1753.8122060000001</v>
      </c>
      <c r="K71">
        <v>2094.1611109999999</v>
      </c>
      <c r="L71">
        <v>19.078770389999999</v>
      </c>
      <c r="M71">
        <v>318.78623140000002</v>
      </c>
      <c r="N71">
        <v>19.06406776</v>
      </c>
      <c r="O71">
        <v>200.41454899999999</v>
      </c>
      <c r="P71">
        <v>0.69708532700000003</v>
      </c>
      <c r="Q71">
        <v>0.99080221899999998</v>
      </c>
      <c r="R71">
        <v>0.54922952899999999</v>
      </c>
      <c r="S71">
        <v>1.314289303</v>
      </c>
      <c r="T71">
        <v>0.62979248899999996</v>
      </c>
      <c r="U71">
        <v>1.0487274419999999</v>
      </c>
      <c r="V71">
        <v>21.02535915</v>
      </c>
      <c r="W71">
        <v>24.0319365</v>
      </c>
      <c r="X71">
        <v>2.1989978880000001</v>
      </c>
      <c r="Y71">
        <v>20.003138119999999</v>
      </c>
      <c r="Z71">
        <v>26.023952380000001</v>
      </c>
      <c r="AA71">
        <v>0.64928202599999996</v>
      </c>
      <c r="AB71">
        <v>6.5352055289999997</v>
      </c>
      <c r="AC71">
        <v>1.7051965280000001</v>
      </c>
      <c r="AD71">
        <v>0.369291657</v>
      </c>
      <c r="AE71">
        <v>0.70289803200000001</v>
      </c>
      <c r="AF71">
        <v>70.539524909999997</v>
      </c>
      <c r="AG71">
        <v>8.2975481819999999</v>
      </c>
      <c r="AI71" t="str">
        <f t="shared" si="12"/>
        <v>2.13968697</v>
      </c>
      <c r="AJ71" t="str">
        <f t="shared" si="11"/>
        <v>14.1161548</v>
      </c>
      <c r="AK71" t="str">
        <f t="shared" si="11"/>
        <v>11.97646783</v>
      </c>
      <c r="AL71" t="str">
        <f t="shared" si="11"/>
        <v>318.7862314</v>
      </c>
      <c r="AM71" t="str">
        <f t="shared" si="11"/>
        <v>1753.812206</v>
      </c>
      <c r="AN71" t="str">
        <f t="shared" si="11"/>
        <v>2094.161111</v>
      </c>
      <c r="AO71" t="str">
        <f t="shared" si="11"/>
        <v>19.07877039</v>
      </c>
      <c r="AP71" t="str">
        <f t="shared" si="11"/>
        <v>318.7862314</v>
      </c>
      <c r="AQ71" t="str">
        <f t="shared" si="11"/>
        <v>19.06406776</v>
      </c>
      <c r="AR71" t="str">
        <f t="shared" si="11"/>
        <v>200.414549</v>
      </c>
      <c r="AS71" t="str">
        <f t="shared" si="11"/>
        <v>0.697085327</v>
      </c>
      <c r="AT71" t="str">
        <f t="shared" si="11"/>
        <v>0.990802219</v>
      </c>
      <c r="AU71" t="str">
        <f t="shared" si="11"/>
        <v>0.549229529</v>
      </c>
      <c r="AV71" t="str">
        <f t="shared" si="11"/>
        <v>1.314289303</v>
      </c>
      <c r="AW71" t="str">
        <f t="shared" si="11"/>
        <v>0.629792489</v>
      </c>
      <c r="AX71" t="str">
        <f t="shared" si="11"/>
        <v>1.048727442</v>
      </c>
      <c r="AY71" t="str">
        <f t="shared" si="10"/>
        <v>21.02535915</v>
      </c>
      <c r="AZ71" t="str">
        <f t="shared" si="10"/>
        <v>24.0319365</v>
      </c>
      <c r="BA71" t="str">
        <f t="shared" si="10"/>
        <v>2.198997888</v>
      </c>
      <c r="BB71" t="str">
        <f t="shared" si="10"/>
        <v>20.00313812</v>
      </c>
      <c r="BC71" t="str">
        <f t="shared" si="10"/>
        <v>26.02395238</v>
      </c>
      <c r="BD71" t="str">
        <f t="shared" si="10"/>
        <v>0.649282026</v>
      </c>
      <c r="BE71" t="str">
        <f t="shared" si="10"/>
        <v>6.535205529</v>
      </c>
      <c r="BF71" t="str">
        <f t="shared" si="10"/>
        <v>1.705196528</v>
      </c>
      <c r="BG71" t="str">
        <f t="shared" si="10"/>
        <v>0.369291657</v>
      </c>
      <c r="BH71" t="str">
        <f t="shared" si="10"/>
        <v>0.702898032</v>
      </c>
      <c r="BI71" t="str">
        <f t="shared" si="10"/>
        <v>70.53952491</v>
      </c>
      <c r="BJ71" t="str">
        <f t="shared" si="10"/>
        <v>8.297548182</v>
      </c>
    </row>
    <row r="72" spans="1:62" x14ac:dyDescent="0.25">
      <c r="A72" s="3" t="s">
        <v>537</v>
      </c>
      <c r="B72" t="s">
        <v>473</v>
      </c>
      <c r="C72" t="s">
        <v>247</v>
      </c>
      <c r="D72" t="s">
        <v>3</v>
      </c>
      <c r="E72">
        <v>71</v>
      </c>
      <c r="F72">
        <v>2.498110225</v>
      </c>
      <c r="G72">
        <v>13.93944903</v>
      </c>
      <c r="H72">
        <v>11.4413388</v>
      </c>
      <c r="I72">
        <v>321.24840979999999</v>
      </c>
      <c r="J72">
        <v>1727.7569390000001</v>
      </c>
      <c r="K72">
        <v>1956.2102870000001</v>
      </c>
      <c r="L72">
        <v>18.86695452</v>
      </c>
      <c r="M72">
        <v>321.24840979999999</v>
      </c>
      <c r="N72">
        <v>18.86695452</v>
      </c>
      <c r="O72">
        <v>195.5955956</v>
      </c>
      <c r="P72">
        <v>0.64304304300000004</v>
      </c>
      <c r="Q72">
        <v>0.991251251</v>
      </c>
      <c r="R72">
        <v>0.54770831900000005</v>
      </c>
      <c r="S72">
        <v>1.28048048</v>
      </c>
      <c r="T72">
        <v>0.65484312499999997</v>
      </c>
      <c r="U72">
        <v>1.068014834</v>
      </c>
      <c r="V72">
        <v>21.138138139999999</v>
      </c>
      <c r="W72">
        <v>24.400400399999999</v>
      </c>
      <c r="X72">
        <v>2.2502502500000001</v>
      </c>
      <c r="Y72">
        <v>20.104104100000001</v>
      </c>
      <c r="Z72">
        <v>26.3003003</v>
      </c>
      <c r="AA72">
        <v>0.66866866899999999</v>
      </c>
      <c r="AB72">
        <v>5.5391391390000004</v>
      </c>
      <c r="AC72">
        <v>1.3998999000000001</v>
      </c>
      <c r="AD72">
        <v>0.342909187</v>
      </c>
      <c r="AE72">
        <v>0.71919112799999996</v>
      </c>
      <c r="AF72">
        <v>71.227021539999996</v>
      </c>
      <c r="AG72">
        <v>9.6094507730000007</v>
      </c>
      <c r="AI72" t="str">
        <f t="shared" si="12"/>
        <v>2.498110225</v>
      </c>
      <c r="AJ72" t="str">
        <f t="shared" si="11"/>
        <v>13.93944903</v>
      </c>
      <c r="AK72" t="str">
        <f t="shared" si="11"/>
        <v>11.4413388</v>
      </c>
      <c r="AL72" t="str">
        <f t="shared" si="11"/>
        <v>321.2484098</v>
      </c>
      <c r="AM72" t="str">
        <f t="shared" si="11"/>
        <v>1727.756939</v>
      </c>
      <c r="AN72" t="str">
        <f t="shared" si="11"/>
        <v>1956.210287</v>
      </c>
      <c r="AO72" t="str">
        <f t="shared" si="11"/>
        <v>18.86695452</v>
      </c>
      <c r="AP72" t="str">
        <f t="shared" si="11"/>
        <v>321.2484098</v>
      </c>
      <c r="AQ72" t="str">
        <f t="shared" si="11"/>
        <v>18.86695452</v>
      </c>
      <c r="AR72" t="str">
        <f t="shared" si="11"/>
        <v>195.5955956</v>
      </c>
      <c r="AS72" t="str">
        <f t="shared" si="11"/>
        <v>0.643043043</v>
      </c>
      <c r="AT72" t="str">
        <f t="shared" si="11"/>
        <v>0.991251251</v>
      </c>
      <c r="AU72" t="str">
        <f t="shared" si="11"/>
        <v>0.547708319</v>
      </c>
      <c r="AV72" t="str">
        <f t="shared" si="11"/>
        <v>1.28048048</v>
      </c>
      <c r="AW72" t="str">
        <f t="shared" si="11"/>
        <v>0.654843125</v>
      </c>
      <c r="AX72" t="str">
        <f t="shared" si="11"/>
        <v>1.068014834</v>
      </c>
      <c r="AY72" t="str">
        <f t="shared" si="10"/>
        <v>21.13813814</v>
      </c>
      <c r="AZ72" t="str">
        <f t="shared" si="10"/>
        <v>24.4004004</v>
      </c>
      <c r="BA72" t="str">
        <f t="shared" si="10"/>
        <v>2.25025025</v>
      </c>
      <c r="BB72" t="str">
        <f t="shared" si="10"/>
        <v>20.1041041</v>
      </c>
      <c r="BC72" t="str">
        <f t="shared" si="10"/>
        <v>26.3003003</v>
      </c>
      <c r="BD72" t="str">
        <f t="shared" si="10"/>
        <v>0.668668669</v>
      </c>
      <c r="BE72" t="str">
        <f t="shared" si="10"/>
        <v>5.539139139</v>
      </c>
      <c r="BF72" t="str">
        <f t="shared" si="10"/>
        <v>1.3998999</v>
      </c>
      <c r="BG72" t="str">
        <f t="shared" si="10"/>
        <v>0.342909187</v>
      </c>
      <c r="BH72" t="str">
        <f t="shared" si="10"/>
        <v>0.719191128</v>
      </c>
      <c r="BI72" t="str">
        <f t="shared" si="10"/>
        <v>71.22702154</v>
      </c>
      <c r="BJ72" t="str">
        <f t="shared" si="10"/>
        <v>9.609450773</v>
      </c>
    </row>
    <row r="73" spans="1:62" x14ac:dyDescent="0.25">
      <c r="A73" s="3" t="s">
        <v>538</v>
      </c>
      <c r="B73" t="s">
        <v>474</v>
      </c>
      <c r="C73" t="s">
        <v>247</v>
      </c>
      <c r="D73" t="s">
        <v>306</v>
      </c>
      <c r="E73">
        <v>72</v>
      </c>
      <c r="F73">
        <v>8.8482740920000005</v>
      </c>
      <c r="G73">
        <v>21.575070830000001</v>
      </c>
      <c r="H73">
        <v>12.726796739999999</v>
      </c>
      <c r="I73">
        <v>284.33620569999999</v>
      </c>
      <c r="J73">
        <v>2422.2544790000002</v>
      </c>
      <c r="K73">
        <v>1227.463571</v>
      </c>
      <c r="L73">
        <v>14.62286574</v>
      </c>
      <c r="M73">
        <v>284.4024192</v>
      </c>
      <c r="N73">
        <v>14.62286574</v>
      </c>
      <c r="O73">
        <v>235.17199919999999</v>
      </c>
      <c r="P73">
        <v>0.76508812500000001</v>
      </c>
      <c r="Q73">
        <v>0.98603311299999996</v>
      </c>
      <c r="R73">
        <v>0.27730966400000001</v>
      </c>
      <c r="S73">
        <v>1.829499923</v>
      </c>
      <c r="T73">
        <v>0.98553176799999997</v>
      </c>
      <c r="U73">
        <v>1.0659145569999999</v>
      </c>
      <c r="V73">
        <v>20.970805800000001</v>
      </c>
      <c r="W73">
        <v>24.001098429999999</v>
      </c>
      <c r="X73">
        <v>3.9443996220000002</v>
      </c>
      <c r="Y73">
        <v>19.995606290000001</v>
      </c>
      <c r="Z73">
        <v>26.001098429999999</v>
      </c>
      <c r="AA73">
        <v>0.72178839500000003</v>
      </c>
      <c r="AB73">
        <v>18.722985779999998</v>
      </c>
      <c r="AC73">
        <v>1.868830988</v>
      </c>
      <c r="AD73">
        <v>0.40315944799999998</v>
      </c>
      <c r="AE73">
        <v>0.83214608499999998</v>
      </c>
      <c r="AF73">
        <v>72.320180260000001</v>
      </c>
      <c r="AG73">
        <v>30.52703816</v>
      </c>
      <c r="AI73" t="str">
        <f t="shared" si="12"/>
        <v>8.848274092</v>
      </c>
      <c r="AJ73" t="str">
        <f t="shared" si="11"/>
        <v>21.57507083</v>
      </c>
      <c r="AK73" t="str">
        <f t="shared" si="11"/>
        <v>12.72679674</v>
      </c>
      <c r="AL73" t="str">
        <f t="shared" si="11"/>
        <v>284.3362057</v>
      </c>
      <c r="AM73" t="str">
        <f t="shared" si="11"/>
        <v>2422.254479</v>
      </c>
      <c r="AN73" t="str">
        <f t="shared" si="11"/>
        <v>1227.463571</v>
      </c>
      <c r="AO73" t="str">
        <f t="shared" si="11"/>
        <v>14.62286574</v>
      </c>
      <c r="AP73" t="str">
        <f t="shared" si="11"/>
        <v>284.4024192</v>
      </c>
      <c r="AQ73" t="str">
        <f t="shared" si="11"/>
        <v>14.62286574</v>
      </c>
      <c r="AR73" t="str">
        <f t="shared" si="11"/>
        <v>235.1719992</v>
      </c>
      <c r="AS73" t="str">
        <f t="shared" si="11"/>
        <v>0.765088125</v>
      </c>
      <c r="AT73" t="str">
        <f t="shared" si="11"/>
        <v>0.986033113</v>
      </c>
      <c r="AU73" t="str">
        <f t="shared" si="11"/>
        <v>0.277309664</v>
      </c>
      <c r="AV73" t="str">
        <f t="shared" si="11"/>
        <v>1.829499923</v>
      </c>
      <c r="AW73" t="str">
        <f t="shared" si="11"/>
        <v>0.985531768</v>
      </c>
      <c r="AX73" t="str">
        <f t="shared" si="11"/>
        <v>1.065914557</v>
      </c>
      <c r="AY73" t="str">
        <f t="shared" si="10"/>
        <v>20.9708058</v>
      </c>
      <c r="AZ73" t="str">
        <f t="shared" si="10"/>
        <v>24.00109843</v>
      </c>
      <c r="BA73" t="str">
        <f t="shared" si="10"/>
        <v>3.944399622</v>
      </c>
      <c r="BB73" t="str">
        <f t="shared" si="10"/>
        <v>19.99560629</v>
      </c>
      <c r="BC73" t="str">
        <f t="shared" si="10"/>
        <v>26.00109843</v>
      </c>
      <c r="BD73" t="str">
        <f t="shared" si="10"/>
        <v>0.721788395</v>
      </c>
      <c r="BE73" t="str">
        <f t="shared" si="10"/>
        <v>18.72298578</v>
      </c>
      <c r="BF73" t="str">
        <f t="shared" si="10"/>
        <v>1.868830988</v>
      </c>
      <c r="BG73" t="str">
        <f t="shared" si="10"/>
        <v>0.403159448</v>
      </c>
      <c r="BH73" t="str">
        <f t="shared" si="10"/>
        <v>0.832146085</v>
      </c>
      <c r="BI73" t="str">
        <f t="shared" si="10"/>
        <v>72.32018026</v>
      </c>
      <c r="BJ73" t="str">
        <f t="shared" si="10"/>
        <v>30.52703816</v>
      </c>
    </row>
    <row r="74" spans="1:62" x14ac:dyDescent="0.25">
      <c r="A74" s="3" t="s">
        <v>539</v>
      </c>
      <c r="B74" t="s">
        <v>475</v>
      </c>
      <c r="C74" t="s">
        <v>247</v>
      </c>
      <c r="D74" t="s">
        <v>307</v>
      </c>
      <c r="E74">
        <v>73</v>
      </c>
      <c r="F74">
        <v>8.8482740920000005</v>
      </c>
      <c r="G74">
        <v>21.575070830000001</v>
      </c>
      <c r="H74">
        <v>12.726796739999999</v>
      </c>
      <c r="I74">
        <v>284.33620569999999</v>
      </c>
      <c r="J74">
        <v>2422.2544790000002</v>
      </c>
      <c r="K74">
        <v>1227.463571</v>
      </c>
      <c r="L74">
        <v>14.62286574</v>
      </c>
      <c r="M74">
        <v>284.4024192</v>
      </c>
      <c r="N74">
        <v>14.62286574</v>
      </c>
      <c r="O74">
        <v>235.17199919999999</v>
      </c>
      <c r="P74">
        <v>0.76508812500000001</v>
      </c>
      <c r="Q74">
        <v>0.98603311299999996</v>
      </c>
      <c r="R74">
        <v>0.27730966400000001</v>
      </c>
      <c r="S74">
        <v>1.829499923</v>
      </c>
      <c r="T74">
        <v>0.98553176799999997</v>
      </c>
      <c r="U74">
        <v>1.0659145569999999</v>
      </c>
      <c r="V74">
        <v>20.970805800000001</v>
      </c>
      <c r="W74">
        <v>24.001098429999999</v>
      </c>
      <c r="X74">
        <v>3.9443996220000002</v>
      </c>
      <c r="Y74">
        <v>19.995606290000001</v>
      </c>
      <c r="Z74">
        <v>26.001098429999999</v>
      </c>
      <c r="AA74">
        <v>0.72178839500000003</v>
      </c>
      <c r="AB74">
        <v>18.722985779999998</v>
      </c>
      <c r="AC74">
        <v>1.868830988</v>
      </c>
      <c r="AD74">
        <v>0.40315944799999998</v>
      </c>
      <c r="AE74">
        <v>0.83214608499999998</v>
      </c>
      <c r="AF74">
        <v>72.320180260000001</v>
      </c>
      <c r="AG74">
        <v>30.52703816</v>
      </c>
      <c r="AI74" t="str">
        <f t="shared" si="12"/>
        <v>8.848274092</v>
      </c>
      <c r="AJ74" t="str">
        <f t="shared" si="11"/>
        <v>21.57507083</v>
      </c>
      <c r="AK74" t="str">
        <f t="shared" si="11"/>
        <v>12.72679674</v>
      </c>
      <c r="AL74" t="str">
        <f t="shared" si="11"/>
        <v>284.3362057</v>
      </c>
      <c r="AM74" t="str">
        <f t="shared" si="11"/>
        <v>2422.254479</v>
      </c>
      <c r="AN74" t="str">
        <f t="shared" si="11"/>
        <v>1227.463571</v>
      </c>
      <c r="AO74" t="str">
        <f t="shared" si="11"/>
        <v>14.62286574</v>
      </c>
      <c r="AP74" t="str">
        <f t="shared" si="11"/>
        <v>284.4024192</v>
      </c>
      <c r="AQ74" t="str">
        <f t="shared" si="11"/>
        <v>14.62286574</v>
      </c>
      <c r="AR74" t="str">
        <f t="shared" si="11"/>
        <v>235.1719992</v>
      </c>
      <c r="AS74" t="str">
        <f t="shared" si="11"/>
        <v>0.765088125</v>
      </c>
      <c r="AT74" t="str">
        <f t="shared" si="11"/>
        <v>0.986033113</v>
      </c>
      <c r="AU74" t="str">
        <f t="shared" si="11"/>
        <v>0.277309664</v>
      </c>
      <c r="AV74" t="str">
        <f t="shared" si="11"/>
        <v>1.829499923</v>
      </c>
      <c r="AW74" t="str">
        <f t="shared" si="11"/>
        <v>0.985531768</v>
      </c>
      <c r="AX74" t="str">
        <f t="shared" si="11"/>
        <v>1.065914557</v>
      </c>
      <c r="AY74" t="str">
        <f t="shared" ref="AY74:BJ89" si="13">IF(MID(V74,2,1)=",",_xlfn.TEXTJOIN(".",FALSE,MID(V74,1,1),MID(V74,3,LEN(V74)-2)),IF(MID(V74,3,1)=",",_xlfn.TEXTJOIN(".",FALSE,MID(V74,1,2),MID(V74,4,LEN(V74)-3)),IF(MID(V74,4,1)=",",_xlfn.TEXTJOIN(".",FALSE,MID(V74,1,3),MID(V74,5,LEN(V74)-4)),IF(MID(V74,5,1)=",",_xlfn.TEXTJOIN(".",FALSE,MID(V74,1,4),MID(V74,6,LEN(V74)-5)),V74))))</f>
        <v>20.9708058</v>
      </c>
      <c r="AZ74" t="str">
        <f t="shared" si="13"/>
        <v>24.00109843</v>
      </c>
      <c r="BA74" t="str">
        <f t="shared" si="13"/>
        <v>3.944399622</v>
      </c>
      <c r="BB74" t="str">
        <f t="shared" si="13"/>
        <v>19.99560629</v>
      </c>
      <c r="BC74" t="str">
        <f t="shared" si="13"/>
        <v>26.00109843</v>
      </c>
      <c r="BD74" t="str">
        <f t="shared" si="13"/>
        <v>0.721788395</v>
      </c>
      <c r="BE74" t="str">
        <f t="shared" si="13"/>
        <v>18.72298578</v>
      </c>
      <c r="BF74" t="str">
        <f t="shared" si="13"/>
        <v>1.868830988</v>
      </c>
      <c r="BG74" t="str">
        <f t="shared" si="13"/>
        <v>0.403159448</v>
      </c>
      <c r="BH74" t="str">
        <f t="shared" si="13"/>
        <v>0.832146085</v>
      </c>
      <c r="BI74" t="str">
        <f t="shared" si="13"/>
        <v>72.32018026</v>
      </c>
      <c r="BJ74" t="str">
        <f t="shared" si="13"/>
        <v>30.52703816</v>
      </c>
    </row>
    <row r="75" spans="1:62" x14ac:dyDescent="0.25">
      <c r="A75" s="3" t="s">
        <v>540</v>
      </c>
      <c r="B75" t="s">
        <v>476</v>
      </c>
      <c r="C75" t="s">
        <v>247</v>
      </c>
      <c r="D75" t="s">
        <v>308</v>
      </c>
      <c r="E75">
        <v>74</v>
      </c>
      <c r="F75">
        <v>8.8482740920000005</v>
      </c>
      <c r="G75">
        <v>21.575070830000001</v>
      </c>
      <c r="H75">
        <v>12.726796739999999</v>
      </c>
      <c r="I75">
        <v>284.33620569999999</v>
      </c>
      <c r="J75">
        <v>2422.2544790000002</v>
      </c>
      <c r="K75">
        <v>1227.463571</v>
      </c>
      <c r="L75">
        <v>14.62286574</v>
      </c>
      <c r="M75">
        <v>284.4024192</v>
      </c>
      <c r="N75">
        <v>14.62286574</v>
      </c>
      <c r="O75">
        <v>235.17199919999999</v>
      </c>
      <c r="P75">
        <v>0.76508812500000001</v>
      </c>
      <c r="Q75">
        <v>0.98603311299999996</v>
      </c>
      <c r="R75">
        <v>0.27730966400000001</v>
      </c>
      <c r="S75">
        <v>1.829499923</v>
      </c>
      <c r="T75">
        <v>0.98553176799999997</v>
      </c>
      <c r="U75">
        <v>1.0659145569999999</v>
      </c>
      <c r="V75">
        <v>20.970805800000001</v>
      </c>
      <c r="W75">
        <v>24.001098429999999</v>
      </c>
      <c r="X75">
        <v>3.9443996220000002</v>
      </c>
      <c r="Y75">
        <v>19.995606290000001</v>
      </c>
      <c r="Z75">
        <v>26.001098429999999</v>
      </c>
      <c r="AA75">
        <v>0.72178839500000003</v>
      </c>
      <c r="AB75">
        <v>18.722985779999998</v>
      </c>
      <c r="AC75">
        <v>1.868830988</v>
      </c>
      <c r="AD75">
        <v>0.40315944799999998</v>
      </c>
      <c r="AE75">
        <v>0.83214608499999998</v>
      </c>
      <c r="AF75">
        <v>72.320180260000001</v>
      </c>
      <c r="AG75">
        <v>30.52703816</v>
      </c>
      <c r="AI75" t="str">
        <f t="shared" si="12"/>
        <v>8.848274092</v>
      </c>
      <c r="AJ75" t="str">
        <f t="shared" ref="AJ75:AX90" si="14">IF(MID(G75,2,1)=",",_xlfn.TEXTJOIN(".",FALSE,MID(G75,1,1),MID(G75,3,LEN(G75)-2)),IF(MID(G75,3,1)=",",_xlfn.TEXTJOIN(".",FALSE,MID(G75,1,2),MID(G75,4,LEN(G75)-3)),IF(MID(G75,4,1)=",",_xlfn.TEXTJOIN(".",FALSE,MID(G75,1,3),MID(G75,5,LEN(G75)-4)),IF(MID(G75,5,1)=",",_xlfn.TEXTJOIN(".",FALSE,MID(G75,1,4),MID(G75,6,LEN(G75)-5)),G75))))</f>
        <v>21.57507083</v>
      </c>
      <c r="AK75" t="str">
        <f t="shared" si="14"/>
        <v>12.72679674</v>
      </c>
      <c r="AL75" t="str">
        <f t="shared" si="14"/>
        <v>284.3362057</v>
      </c>
      <c r="AM75" t="str">
        <f t="shared" si="14"/>
        <v>2422.254479</v>
      </c>
      <c r="AN75" t="str">
        <f t="shared" si="14"/>
        <v>1227.463571</v>
      </c>
      <c r="AO75" t="str">
        <f t="shared" si="14"/>
        <v>14.62286574</v>
      </c>
      <c r="AP75" t="str">
        <f t="shared" si="14"/>
        <v>284.4024192</v>
      </c>
      <c r="AQ75" t="str">
        <f t="shared" si="14"/>
        <v>14.62286574</v>
      </c>
      <c r="AR75" t="str">
        <f t="shared" si="14"/>
        <v>235.1719992</v>
      </c>
      <c r="AS75" t="str">
        <f t="shared" si="14"/>
        <v>0.765088125</v>
      </c>
      <c r="AT75" t="str">
        <f t="shared" si="14"/>
        <v>0.986033113</v>
      </c>
      <c r="AU75" t="str">
        <f t="shared" si="14"/>
        <v>0.277309664</v>
      </c>
      <c r="AV75" t="str">
        <f t="shared" si="14"/>
        <v>1.829499923</v>
      </c>
      <c r="AW75" t="str">
        <f t="shared" si="14"/>
        <v>0.985531768</v>
      </c>
      <c r="AX75" t="str">
        <f t="shared" si="14"/>
        <v>1.065914557</v>
      </c>
      <c r="AY75" t="str">
        <f t="shared" si="13"/>
        <v>20.9708058</v>
      </c>
      <c r="AZ75" t="str">
        <f t="shared" si="13"/>
        <v>24.00109843</v>
      </c>
      <c r="BA75" t="str">
        <f t="shared" si="13"/>
        <v>3.944399622</v>
      </c>
      <c r="BB75" t="str">
        <f t="shared" si="13"/>
        <v>19.99560629</v>
      </c>
      <c r="BC75" t="str">
        <f t="shared" si="13"/>
        <v>26.00109843</v>
      </c>
      <c r="BD75" t="str">
        <f t="shared" si="13"/>
        <v>0.721788395</v>
      </c>
      <c r="BE75" t="str">
        <f t="shared" si="13"/>
        <v>18.72298578</v>
      </c>
      <c r="BF75" t="str">
        <f t="shared" si="13"/>
        <v>1.868830988</v>
      </c>
      <c r="BG75" t="str">
        <f t="shared" si="13"/>
        <v>0.403159448</v>
      </c>
      <c r="BH75" t="str">
        <f t="shared" si="13"/>
        <v>0.832146085</v>
      </c>
      <c r="BI75" t="str">
        <f t="shared" si="13"/>
        <v>72.32018026</v>
      </c>
      <c r="BJ75" t="str">
        <f t="shared" si="13"/>
        <v>30.52703816</v>
      </c>
    </row>
    <row r="76" spans="1:62" x14ac:dyDescent="0.25">
      <c r="A76" s="3" t="s">
        <v>541</v>
      </c>
      <c r="B76" t="s">
        <v>477</v>
      </c>
      <c r="C76" t="s">
        <v>247</v>
      </c>
      <c r="D76" t="s">
        <v>4</v>
      </c>
      <c r="E76">
        <v>75</v>
      </c>
      <c r="F76">
        <v>7.8570126399999998</v>
      </c>
      <c r="G76">
        <v>18.226482740000002</v>
      </c>
      <c r="H76">
        <v>10.369470099999999</v>
      </c>
      <c r="I76">
        <v>262.2010209</v>
      </c>
      <c r="J76">
        <v>2287.807061</v>
      </c>
      <c r="K76">
        <v>488.17252070000001</v>
      </c>
      <c r="L76">
        <v>11.608225320000001</v>
      </c>
      <c r="M76">
        <v>262.2010209</v>
      </c>
      <c r="N76">
        <v>11.608225320000001</v>
      </c>
      <c r="O76">
        <v>214.85</v>
      </c>
      <c r="P76">
        <v>0.73640000000000005</v>
      </c>
      <c r="Q76">
        <v>0.97831000000000001</v>
      </c>
      <c r="R76">
        <v>0.435380408</v>
      </c>
      <c r="S76">
        <v>1.8274999999999999</v>
      </c>
      <c r="T76">
        <v>0.983196403</v>
      </c>
      <c r="U76">
        <v>1.1555760820000001</v>
      </c>
      <c r="V76">
        <v>20.972999999999999</v>
      </c>
      <c r="W76">
        <v>24.006</v>
      </c>
      <c r="X76">
        <v>3.988</v>
      </c>
      <c r="Y76">
        <v>19.975999999999999</v>
      </c>
      <c r="Z76">
        <v>26.006</v>
      </c>
      <c r="AA76">
        <v>0.64900000000000002</v>
      </c>
      <c r="AB76">
        <v>17.4209</v>
      </c>
      <c r="AC76">
        <v>1.6525000000000001</v>
      </c>
      <c r="AD76">
        <v>0.30266569399999999</v>
      </c>
      <c r="AE76">
        <v>0.98132393500000004</v>
      </c>
      <c r="AF76">
        <v>71.450151059999996</v>
      </c>
      <c r="AG76">
        <v>30.540688039999999</v>
      </c>
      <c r="AI76" t="str">
        <f t="shared" si="12"/>
        <v>7.85701264</v>
      </c>
      <c r="AJ76" t="str">
        <f t="shared" si="14"/>
        <v>18.22648274</v>
      </c>
      <c r="AK76" t="str">
        <f t="shared" si="14"/>
        <v>10.3694701</v>
      </c>
      <c r="AL76" t="str">
        <f t="shared" si="14"/>
        <v>262.2010209</v>
      </c>
      <c r="AM76" t="str">
        <f t="shared" si="14"/>
        <v>2287.807061</v>
      </c>
      <c r="AN76" t="str">
        <f t="shared" si="14"/>
        <v>488.1725207</v>
      </c>
      <c r="AO76" t="str">
        <f t="shared" si="14"/>
        <v>11.60822532</v>
      </c>
      <c r="AP76" t="str">
        <f t="shared" si="14"/>
        <v>262.2010209</v>
      </c>
      <c r="AQ76" t="str">
        <f t="shared" si="14"/>
        <v>11.60822532</v>
      </c>
      <c r="AR76" t="str">
        <f t="shared" si="14"/>
        <v>214.85</v>
      </c>
      <c r="AS76" t="str">
        <f t="shared" si="14"/>
        <v>0.7364</v>
      </c>
      <c r="AT76" t="str">
        <f t="shared" si="14"/>
        <v>0.97831</v>
      </c>
      <c r="AU76" t="str">
        <f t="shared" si="14"/>
        <v>0.435380408</v>
      </c>
      <c r="AV76" t="str">
        <f t="shared" si="14"/>
        <v>1.8275</v>
      </c>
      <c r="AW76" t="str">
        <f t="shared" si="14"/>
        <v>0.983196403</v>
      </c>
      <c r="AX76" t="str">
        <f t="shared" si="14"/>
        <v>1.155576082</v>
      </c>
      <c r="AY76" t="str">
        <f t="shared" si="13"/>
        <v>20.973</v>
      </c>
      <c r="AZ76" t="str">
        <f t="shared" si="13"/>
        <v>24.006</v>
      </c>
      <c r="BA76" t="str">
        <f t="shared" si="13"/>
        <v>3.988</v>
      </c>
      <c r="BB76" t="str">
        <f t="shared" si="13"/>
        <v>19.976</v>
      </c>
      <c r="BC76" t="str">
        <f t="shared" si="13"/>
        <v>26.006</v>
      </c>
      <c r="BD76" t="str">
        <f t="shared" si="13"/>
        <v>0.649</v>
      </c>
      <c r="BE76" t="str">
        <f t="shared" si="13"/>
        <v>17.4209</v>
      </c>
      <c r="BF76" t="str">
        <f t="shared" si="13"/>
        <v>1.6525</v>
      </c>
      <c r="BG76" t="str">
        <f t="shared" si="13"/>
        <v>0.302665694</v>
      </c>
      <c r="BH76" t="str">
        <f t="shared" si="13"/>
        <v>0.981323935</v>
      </c>
      <c r="BI76" t="str">
        <f t="shared" si="13"/>
        <v>71.45015106</v>
      </c>
      <c r="BJ76" t="str">
        <f t="shared" si="13"/>
        <v>30.54068804</v>
      </c>
    </row>
    <row r="77" spans="1:62" x14ac:dyDescent="0.25">
      <c r="A77" s="3" t="s">
        <v>542</v>
      </c>
      <c r="B77" t="s">
        <v>478</v>
      </c>
      <c r="C77" t="s">
        <v>247</v>
      </c>
      <c r="D77" t="s">
        <v>309</v>
      </c>
      <c r="E77">
        <v>76</v>
      </c>
      <c r="F77">
        <v>2.1396869700000001</v>
      </c>
      <c r="G77">
        <v>14.1161548</v>
      </c>
      <c r="H77">
        <v>11.976467830000001</v>
      </c>
      <c r="I77">
        <v>318.78623140000002</v>
      </c>
      <c r="J77">
        <v>1753.8122060000001</v>
      </c>
      <c r="K77">
        <v>2094.1611109999999</v>
      </c>
      <c r="L77">
        <v>19.078770389999999</v>
      </c>
      <c r="M77">
        <v>318.78623140000002</v>
      </c>
      <c r="N77">
        <v>19.06406776</v>
      </c>
      <c r="O77">
        <v>200.41454899999999</v>
      </c>
      <c r="P77">
        <v>0.69708532700000003</v>
      </c>
      <c r="Q77">
        <v>0.99080221899999998</v>
      </c>
      <c r="R77">
        <v>0.54922952899999999</v>
      </c>
      <c r="S77">
        <v>1.314289303</v>
      </c>
      <c r="T77">
        <v>0.62979248899999996</v>
      </c>
      <c r="U77">
        <v>1.0487274419999999</v>
      </c>
      <c r="V77">
        <v>21.02535915</v>
      </c>
      <c r="W77">
        <v>24.0319365</v>
      </c>
      <c r="X77">
        <v>2.1989978880000001</v>
      </c>
      <c r="Y77">
        <v>20.003138119999999</v>
      </c>
      <c r="Z77">
        <v>26.023952380000001</v>
      </c>
      <c r="AA77">
        <v>0.64928202599999996</v>
      </c>
      <c r="AB77">
        <v>6.5352055289999997</v>
      </c>
      <c r="AC77">
        <v>1.7051965280000001</v>
      </c>
      <c r="AD77">
        <v>0.369291657</v>
      </c>
      <c r="AE77">
        <v>0.70289803200000001</v>
      </c>
      <c r="AF77">
        <v>70.539524909999997</v>
      </c>
      <c r="AG77">
        <v>8.2975481819999999</v>
      </c>
      <c r="AI77" t="str">
        <f t="shared" si="12"/>
        <v>2.13968697</v>
      </c>
      <c r="AJ77" t="str">
        <f t="shared" si="14"/>
        <v>14.1161548</v>
      </c>
      <c r="AK77" t="str">
        <f t="shared" si="14"/>
        <v>11.97646783</v>
      </c>
      <c r="AL77" t="str">
        <f t="shared" si="14"/>
        <v>318.7862314</v>
      </c>
      <c r="AM77" t="str">
        <f t="shared" si="14"/>
        <v>1753.812206</v>
      </c>
      <c r="AN77" t="str">
        <f t="shared" si="14"/>
        <v>2094.161111</v>
      </c>
      <c r="AO77" t="str">
        <f t="shared" si="14"/>
        <v>19.07877039</v>
      </c>
      <c r="AP77" t="str">
        <f t="shared" si="14"/>
        <v>318.7862314</v>
      </c>
      <c r="AQ77" t="str">
        <f t="shared" si="14"/>
        <v>19.06406776</v>
      </c>
      <c r="AR77" t="str">
        <f t="shared" si="14"/>
        <v>200.414549</v>
      </c>
      <c r="AS77" t="str">
        <f t="shared" si="14"/>
        <v>0.697085327</v>
      </c>
      <c r="AT77" t="str">
        <f t="shared" si="14"/>
        <v>0.990802219</v>
      </c>
      <c r="AU77" t="str">
        <f t="shared" si="14"/>
        <v>0.549229529</v>
      </c>
      <c r="AV77" t="str">
        <f t="shared" si="14"/>
        <v>1.314289303</v>
      </c>
      <c r="AW77" t="str">
        <f t="shared" si="14"/>
        <v>0.629792489</v>
      </c>
      <c r="AX77" t="str">
        <f t="shared" si="14"/>
        <v>1.048727442</v>
      </c>
      <c r="AY77" t="str">
        <f t="shared" si="13"/>
        <v>21.02535915</v>
      </c>
      <c r="AZ77" t="str">
        <f t="shared" si="13"/>
        <v>24.0319365</v>
      </c>
      <c r="BA77" t="str">
        <f t="shared" si="13"/>
        <v>2.198997888</v>
      </c>
      <c r="BB77" t="str">
        <f t="shared" si="13"/>
        <v>20.00313812</v>
      </c>
      <c r="BC77" t="str">
        <f t="shared" si="13"/>
        <v>26.02395238</v>
      </c>
      <c r="BD77" t="str">
        <f t="shared" si="13"/>
        <v>0.649282026</v>
      </c>
      <c r="BE77" t="str">
        <f t="shared" si="13"/>
        <v>6.535205529</v>
      </c>
      <c r="BF77" t="str">
        <f t="shared" si="13"/>
        <v>1.705196528</v>
      </c>
      <c r="BG77" t="str">
        <f t="shared" si="13"/>
        <v>0.369291657</v>
      </c>
      <c r="BH77" t="str">
        <f t="shared" si="13"/>
        <v>0.702898032</v>
      </c>
      <c r="BI77" t="str">
        <f t="shared" si="13"/>
        <v>70.53952491</v>
      </c>
      <c r="BJ77" t="str">
        <f t="shared" si="13"/>
        <v>8.297548182</v>
      </c>
    </row>
    <row r="78" spans="1:62" x14ac:dyDescent="0.25">
      <c r="A78" s="3" t="s">
        <v>543</v>
      </c>
      <c r="B78" t="s">
        <v>479</v>
      </c>
      <c r="C78" t="s">
        <v>246</v>
      </c>
      <c r="D78" s="26"/>
      <c r="E78">
        <v>77</v>
      </c>
      <c r="F78">
        <v>2.8960414779999999</v>
      </c>
      <c r="G78">
        <v>21.25559359</v>
      </c>
      <c r="H78">
        <v>18.359552109999999</v>
      </c>
      <c r="I78">
        <v>315.4409311</v>
      </c>
      <c r="J78">
        <v>3562.5423249999999</v>
      </c>
      <c r="K78">
        <v>2633.966762</v>
      </c>
      <c r="L78">
        <v>16.484192950000001</v>
      </c>
      <c r="M78">
        <v>315.71213549999999</v>
      </c>
      <c r="N78">
        <v>16.464229970000002</v>
      </c>
      <c r="O78">
        <v>254.3346774</v>
      </c>
      <c r="P78">
        <v>0.54758064500000003</v>
      </c>
      <c r="Q78">
        <v>0.93970766100000003</v>
      </c>
      <c r="R78">
        <v>0.54210471100000002</v>
      </c>
      <c r="S78">
        <v>2.0091229839999998</v>
      </c>
      <c r="T78">
        <v>0.61647519200000001</v>
      </c>
      <c r="U78">
        <v>1.571314834</v>
      </c>
      <c r="V78">
        <v>17.15725806</v>
      </c>
      <c r="W78">
        <v>25.346774190000001</v>
      </c>
      <c r="X78">
        <v>2.850806452</v>
      </c>
      <c r="Y78">
        <v>16.526209680000001</v>
      </c>
      <c r="Z78">
        <v>27.346774190000001</v>
      </c>
      <c r="AA78">
        <v>0.178427419</v>
      </c>
      <c r="AB78">
        <v>2.691985887</v>
      </c>
      <c r="AC78">
        <v>0.56275201600000002</v>
      </c>
      <c r="AD78">
        <v>5.3417234000000001E-2</v>
      </c>
      <c r="AE78">
        <v>0.97655320499999998</v>
      </c>
      <c r="AF78">
        <v>78.958295519999993</v>
      </c>
      <c r="AG78">
        <v>10.125803060000001</v>
      </c>
      <c r="AI78" t="str">
        <f t="shared" si="12"/>
        <v>2.896041478</v>
      </c>
      <c r="AJ78" t="str">
        <f t="shared" si="14"/>
        <v>21.25559359</v>
      </c>
      <c r="AK78" t="str">
        <f t="shared" si="14"/>
        <v>18.35955211</v>
      </c>
      <c r="AL78" t="str">
        <f t="shared" si="14"/>
        <v>315.4409311</v>
      </c>
      <c r="AM78" t="str">
        <f t="shared" si="14"/>
        <v>3562.542325</v>
      </c>
      <c r="AN78" t="str">
        <f t="shared" si="14"/>
        <v>2633.966762</v>
      </c>
      <c r="AO78" t="str">
        <f t="shared" si="14"/>
        <v>16.48419295</v>
      </c>
      <c r="AP78" t="str">
        <f t="shared" si="14"/>
        <v>315.7121355</v>
      </c>
      <c r="AQ78" t="str">
        <f t="shared" si="14"/>
        <v>16.46422997</v>
      </c>
      <c r="AR78" t="str">
        <f t="shared" si="14"/>
        <v>254.3346774</v>
      </c>
      <c r="AS78" t="str">
        <f t="shared" si="14"/>
        <v>0.547580645</v>
      </c>
      <c r="AT78" t="str">
        <f t="shared" si="14"/>
        <v>0.939707661</v>
      </c>
      <c r="AU78" t="str">
        <f t="shared" si="14"/>
        <v>0.542104711</v>
      </c>
      <c r="AV78" t="str">
        <f t="shared" si="14"/>
        <v>2.009122984</v>
      </c>
      <c r="AW78" t="str">
        <f t="shared" si="14"/>
        <v>0.616475192</v>
      </c>
      <c r="AX78" t="str">
        <f t="shared" si="14"/>
        <v>1.571314834</v>
      </c>
      <c r="AY78" t="str">
        <f t="shared" si="13"/>
        <v>17.15725806</v>
      </c>
      <c r="AZ78" t="str">
        <f t="shared" si="13"/>
        <v>25.34677419</v>
      </c>
      <c r="BA78" t="str">
        <f t="shared" si="13"/>
        <v>2.850806452</v>
      </c>
      <c r="BB78" t="str">
        <f t="shared" si="13"/>
        <v>16.52620968</v>
      </c>
      <c r="BC78" t="str">
        <f t="shared" si="13"/>
        <v>27.34677419</v>
      </c>
      <c r="BD78" t="str">
        <f t="shared" si="13"/>
        <v>0.178427419</v>
      </c>
      <c r="BE78" t="str">
        <f t="shared" si="13"/>
        <v>2.691985887</v>
      </c>
      <c r="BF78" t="str">
        <f t="shared" si="13"/>
        <v>0.562752016</v>
      </c>
      <c r="BG78" t="str">
        <f t="shared" si="13"/>
        <v>0.053417234</v>
      </c>
      <c r="BH78" t="str">
        <f t="shared" si="13"/>
        <v>0.976553205</v>
      </c>
      <c r="BI78" t="str">
        <f t="shared" si="13"/>
        <v>78.95829552</v>
      </c>
      <c r="BJ78" t="str">
        <f t="shared" si="13"/>
        <v>10.12580306</v>
      </c>
    </row>
    <row r="79" spans="1:62" x14ac:dyDescent="0.25">
      <c r="A79" s="3" t="s">
        <v>544</v>
      </c>
      <c r="B79" t="s">
        <v>480</v>
      </c>
      <c r="C79" t="s">
        <v>246</v>
      </c>
      <c r="D79" t="s">
        <v>335</v>
      </c>
      <c r="E79">
        <v>78</v>
      </c>
      <c r="F79">
        <v>6.3251241220000001</v>
      </c>
      <c r="G79">
        <v>17.738695549999999</v>
      </c>
      <c r="H79">
        <v>11.413571429999999</v>
      </c>
      <c r="I79">
        <v>253.74877559999999</v>
      </c>
      <c r="J79">
        <v>2492.7090939999998</v>
      </c>
      <c r="K79">
        <v>577.05158340000003</v>
      </c>
      <c r="L79">
        <v>12.048140419999999</v>
      </c>
      <c r="M79">
        <v>254.56904610000001</v>
      </c>
      <c r="N79">
        <v>11.998321929999999</v>
      </c>
      <c r="O79">
        <v>323.2284454</v>
      </c>
      <c r="P79">
        <v>0.74715556599999999</v>
      </c>
      <c r="Q79">
        <v>0.89774885500000001</v>
      </c>
      <c r="R79">
        <v>0.36781426499999997</v>
      </c>
      <c r="S79">
        <v>2.037051076</v>
      </c>
      <c r="T79">
        <v>0.86179546200000001</v>
      </c>
      <c r="U79">
        <v>1.193151139</v>
      </c>
      <c r="V79">
        <v>18.395444909999998</v>
      </c>
      <c r="W79">
        <v>25.483643130000001</v>
      </c>
      <c r="X79">
        <v>3.8798773870000001</v>
      </c>
      <c r="Y79">
        <v>17.571422699999999</v>
      </c>
      <c r="Z79">
        <v>27.483643130000001</v>
      </c>
      <c r="AA79">
        <v>0.21138238300000001</v>
      </c>
      <c r="AB79">
        <v>3.4275363969999999</v>
      </c>
      <c r="AC79">
        <v>0.67520672199999998</v>
      </c>
      <c r="AD79">
        <v>0.104380522</v>
      </c>
      <c r="AE79">
        <v>0.95635159300000006</v>
      </c>
      <c r="AF79">
        <v>88.961226100000005</v>
      </c>
      <c r="AG79">
        <v>20.24767194</v>
      </c>
      <c r="AI79" t="str">
        <f t="shared" si="12"/>
        <v>6.325124122</v>
      </c>
      <c r="AJ79" t="str">
        <f t="shared" si="14"/>
        <v>17.73869555</v>
      </c>
      <c r="AK79" t="str">
        <f t="shared" si="14"/>
        <v>11.41357143</v>
      </c>
      <c r="AL79" t="str">
        <f t="shared" si="14"/>
        <v>253.7487756</v>
      </c>
      <c r="AM79" t="str">
        <f t="shared" si="14"/>
        <v>2492.709094</v>
      </c>
      <c r="AN79" t="str">
        <f t="shared" si="14"/>
        <v>577.0515834</v>
      </c>
      <c r="AO79" t="str">
        <f t="shared" si="14"/>
        <v>12.04814042</v>
      </c>
      <c r="AP79" t="str">
        <f t="shared" si="14"/>
        <v>254.5690461</v>
      </c>
      <c r="AQ79" t="str">
        <f t="shared" si="14"/>
        <v>11.99832193</v>
      </c>
      <c r="AR79" t="str">
        <f t="shared" si="14"/>
        <v>323.2284454</v>
      </c>
      <c r="AS79" t="str">
        <f t="shared" si="14"/>
        <v>0.747155566</v>
      </c>
      <c r="AT79" t="str">
        <f t="shared" si="14"/>
        <v>0.897748855</v>
      </c>
      <c r="AU79" t="str">
        <f t="shared" si="14"/>
        <v>0.367814265</v>
      </c>
      <c r="AV79" t="str">
        <f t="shared" si="14"/>
        <v>2.037051076</v>
      </c>
      <c r="AW79" t="str">
        <f t="shared" si="14"/>
        <v>0.861795462</v>
      </c>
      <c r="AX79" t="str">
        <f t="shared" si="14"/>
        <v>1.193151139</v>
      </c>
      <c r="AY79" t="str">
        <f t="shared" si="13"/>
        <v>18.39544491</v>
      </c>
      <c r="AZ79" t="str">
        <f t="shared" si="13"/>
        <v>25.48364313</v>
      </c>
      <c r="BA79" t="str">
        <f t="shared" si="13"/>
        <v>3.879877387</v>
      </c>
      <c r="BB79" t="str">
        <f t="shared" si="13"/>
        <v>17.5714227</v>
      </c>
      <c r="BC79" t="str">
        <f t="shared" si="13"/>
        <v>27.48364313</v>
      </c>
      <c r="BD79" t="str">
        <f t="shared" si="13"/>
        <v>0.211382383</v>
      </c>
      <c r="BE79" t="str">
        <f t="shared" si="13"/>
        <v>3.427536397</v>
      </c>
      <c r="BF79" t="str">
        <f t="shared" si="13"/>
        <v>0.675206722</v>
      </c>
      <c r="BG79" t="str">
        <f t="shared" si="13"/>
        <v>0.104380522</v>
      </c>
      <c r="BH79" t="str">
        <f t="shared" si="13"/>
        <v>0.956351593</v>
      </c>
      <c r="BI79" t="str">
        <f t="shared" si="13"/>
        <v>88.9612261</v>
      </c>
      <c r="BJ79" t="str">
        <f t="shared" si="13"/>
        <v>20.24767194</v>
      </c>
    </row>
    <row r="80" spans="1:62" x14ac:dyDescent="0.25">
      <c r="A80" s="3" t="s">
        <v>545</v>
      </c>
      <c r="B80" t="s">
        <v>481</v>
      </c>
      <c r="C80" t="s">
        <v>246</v>
      </c>
      <c r="D80" t="s">
        <v>310</v>
      </c>
      <c r="E80">
        <v>79</v>
      </c>
      <c r="F80">
        <v>6.3251241220000001</v>
      </c>
      <c r="G80">
        <v>17.738695549999999</v>
      </c>
      <c r="H80">
        <v>11.413571429999999</v>
      </c>
      <c r="I80">
        <v>253.74877559999999</v>
      </c>
      <c r="J80">
        <v>2492.7090939999998</v>
      </c>
      <c r="K80">
        <v>577.05158340000003</v>
      </c>
      <c r="L80">
        <v>12.048140419999999</v>
      </c>
      <c r="M80">
        <v>254.56904610000001</v>
      </c>
      <c r="N80">
        <v>11.998321929999999</v>
      </c>
      <c r="O80">
        <v>323.2284454</v>
      </c>
      <c r="P80">
        <v>0.74715556599999999</v>
      </c>
      <c r="Q80">
        <v>0.89774885500000001</v>
      </c>
      <c r="R80">
        <v>0.36781426499999997</v>
      </c>
      <c r="S80">
        <v>2.037051076</v>
      </c>
      <c r="T80">
        <v>0.86179546200000001</v>
      </c>
      <c r="U80">
        <v>1.193151139</v>
      </c>
      <c r="V80">
        <v>18.395444909999998</v>
      </c>
      <c r="W80">
        <v>25.483643130000001</v>
      </c>
      <c r="X80">
        <v>3.8798773870000001</v>
      </c>
      <c r="Y80">
        <v>17.571422699999999</v>
      </c>
      <c r="Z80">
        <v>27.483643130000001</v>
      </c>
      <c r="AA80">
        <v>0.21138238300000001</v>
      </c>
      <c r="AB80">
        <v>3.4275363969999999</v>
      </c>
      <c r="AC80">
        <v>0.67520672199999998</v>
      </c>
      <c r="AD80">
        <v>0.104380522</v>
      </c>
      <c r="AE80">
        <v>0.95635159300000006</v>
      </c>
      <c r="AF80">
        <v>88.961226100000005</v>
      </c>
      <c r="AG80">
        <v>20.24767194</v>
      </c>
      <c r="AI80" t="str">
        <f t="shared" si="12"/>
        <v>6.325124122</v>
      </c>
      <c r="AJ80" t="str">
        <f t="shared" si="14"/>
        <v>17.73869555</v>
      </c>
      <c r="AK80" t="str">
        <f t="shared" si="14"/>
        <v>11.41357143</v>
      </c>
      <c r="AL80" t="str">
        <f t="shared" si="14"/>
        <v>253.7487756</v>
      </c>
      <c r="AM80" t="str">
        <f t="shared" si="14"/>
        <v>2492.709094</v>
      </c>
      <c r="AN80" t="str">
        <f t="shared" si="14"/>
        <v>577.0515834</v>
      </c>
      <c r="AO80" t="str">
        <f t="shared" si="14"/>
        <v>12.04814042</v>
      </c>
      <c r="AP80" t="str">
        <f t="shared" si="14"/>
        <v>254.5690461</v>
      </c>
      <c r="AQ80" t="str">
        <f t="shared" si="14"/>
        <v>11.99832193</v>
      </c>
      <c r="AR80" t="str">
        <f t="shared" si="14"/>
        <v>323.2284454</v>
      </c>
      <c r="AS80" t="str">
        <f t="shared" si="14"/>
        <v>0.747155566</v>
      </c>
      <c r="AT80" t="str">
        <f t="shared" si="14"/>
        <v>0.897748855</v>
      </c>
      <c r="AU80" t="str">
        <f t="shared" si="14"/>
        <v>0.367814265</v>
      </c>
      <c r="AV80" t="str">
        <f t="shared" si="14"/>
        <v>2.037051076</v>
      </c>
      <c r="AW80" t="str">
        <f t="shared" si="14"/>
        <v>0.861795462</v>
      </c>
      <c r="AX80" t="str">
        <f t="shared" si="14"/>
        <v>1.193151139</v>
      </c>
      <c r="AY80" t="str">
        <f t="shared" si="13"/>
        <v>18.39544491</v>
      </c>
      <c r="AZ80" t="str">
        <f t="shared" si="13"/>
        <v>25.48364313</v>
      </c>
      <c r="BA80" t="str">
        <f t="shared" si="13"/>
        <v>3.879877387</v>
      </c>
      <c r="BB80" t="str">
        <f t="shared" si="13"/>
        <v>17.5714227</v>
      </c>
      <c r="BC80" t="str">
        <f t="shared" si="13"/>
        <v>27.48364313</v>
      </c>
      <c r="BD80" t="str">
        <f t="shared" si="13"/>
        <v>0.211382383</v>
      </c>
      <c r="BE80" t="str">
        <f t="shared" si="13"/>
        <v>3.427536397</v>
      </c>
      <c r="BF80" t="str">
        <f t="shared" si="13"/>
        <v>0.675206722</v>
      </c>
      <c r="BG80" t="str">
        <f t="shared" si="13"/>
        <v>0.104380522</v>
      </c>
      <c r="BH80" t="str">
        <f t="shared" si="13"/>
        <v>0.956351593</v>
      </c>
      <c r="BI80" t="str">
        <f t="shared" si="13"/>
        <v>88.9612261</v>
      </c>
      <c r="BJ80" t="str">
        <f t="shared" si="13"/>
        <v>20.24767194</v>
      </c>
    </row>
    <row r="81" spans="1:62" x14ac:dyDescent="0.25">
      <c r="A81" s="3" t="s">
        <v>178</v>
      </c>
      <c r="B81" t="s">
        <v>482</v>
      </c>
      <c r="C81" t="s">
        <v>246</v>
      </c>
      <c r="D81" t="s">
        <v>311</v>
      </c>
      <c r="E81">
        <v>80</v>
      </c>
      <c r="F81">
        <v>6.1818033080000001</v>
      </c>
      <c r="G81">
        <v>18.093296649999999</v>
      </c>
      <c r="H81">
        <v>11.91149334</v>
      </c>
      <c r="I81">
        <v>258.89635490000001</v>
      </c>
      <c r="J81">
        <v>2585.9946060000002</v>
      </c>
      <c r="K81">
        <v>696.41595930000005</v>
      </c>
      <c r="L81">
        <v>12.48005378</v>
      </c>
      <c r="M81">
        <v>259.63642329999999</v>
      </c>
      <c r="N81">
        <v>12.43435195</v>
      </c>
      <c r="O81">
        <v>308.33475929999997</v>
      </c>
      <c r="P81">
        <v>0.739453731</v>
      </c>
      <c r="Q81">
        <v>0.90963214400000003</v>
      </c>
      <c r="R81">
        <v>0.417085133</v>
      </c>
      <c r="S81">
        <v>1.943785085</v>
      </c>
      <c r="T81">
        <v>0.85649530600000001</v>
      </c>
      <c r="U81">
        <v>1.2453902569999999</v>
      </c>
      <c r="V81">
        <v>18.719060750000001</v>
      </c>
      <c r="W81">
        <v>25.2590124</v>
      </c>
      <c r="X81">
        <v>3.8446777380000001</v>
      </c>
      <c r="Y81">
        <v>17.875973089999999</v>
      </c>
      <c r="Z81">
        <v>27.2590124</v>
      </c>
      <c r="AA81">
        <v>0.25174584799999999</v>
      </c>
      <c r="AB81">
        <v>3.5193183939999999</v>
      </c>
      <c r="AC81">
        <v>0.77091449400000001</v>
      </c>
      <c r="AD81">
        <v>0.11733495100000001</v>
      </c>
      <c r="AE81">
        <v>0.95094898500000002</v>
      </c>
      <c r="AF81">
        <v>85.619178520000006</v>
      </c>
      <c r="AG81">
        <v>17.528356129999999</v>
      </c>
      <c r="AI81" t="str">
        <f t="shared" si="12"/>
        <v>6.181803308</v>
      </c>
      <c r="AJ81" t="str">
        <f t="shared" si="14"/>
        <v>18.09329665</v>
      </c>
      <c r="AK81" t="str">
        <f t="shared" si="14"/>
        <v>11.91149334</v>
      </c>
      <c r="AL81" t="str">
        <f t="shared" si="14"/>
        <v>258.8963549</v>
      </c>
      <c r="AM81" t="str">
        <f t="shared" si="14"/>
        <v>2585.994606</v>
      </c>
      <c r="AN81" t="str">
        <f t="shared" si="14"/>
        <v>696.4159593</v>
      </c>
      <c r="AO81" t="str">
        <f t="shared" si="14"/>
        <v>12.48005378</v>
      </c>
      <c r="AP81" t="str">
        <f t="shared" si="14"/>
        <v>259.6364233</v>
      </c>
      <c r="AQ81" t="str">
        <f t="shared" si="14"/>
        <v>12.43435195</v>
      </c>
      <c r="AR81" t="str">
        <f t="shared" si="14"/>
        <v>308.3347593</v>
      </c>
      <c r="AS81" t="str">
        <f t="shared" si="14"/>
        <v>0.739453731</v>
      </c>
      <c r="AT81" t="str">
        <f t="shared" si="14"/>
        <v>0.909632144</v>
      </c>
      <c r="AU81" t="str">
        <f t="shared" si="14"/>
        <v>0.417085133</v>
      </c>
      <c r="AV81" t="str">
        <f t="shared" si="14"/>
        <v>1.943785085</v>
      </c>
      <c r="AW81" t="str">
        <f t="shared" si="14"/>
        <v>0.856495306</v>
      </c>
      <c r="AX81" t="str">
        <f t="shared" si="14"/>
        <v>1.245390257</v>
      </c>
      <c r="AY81" t="str">
        <f t="shared" si="13"/>
        <v>18.71906075</v>
      </c>
      <c r="AZ81" t="str">
        <f t="shared" si="13"/>
        <v>25.2590124</v>
      </c>
      <c r="BA81" t="str">
        <f t="shared" si="13"/>
        <v>3.844677738</v>
      </c>
      <c r="BB81" t="str">
        <f t="shared" si="13"/>
        <v>17.87597309</v>
      </c>
      <c r="BC81" t="str">
        <f t="shared" si="13"/>
        <v>27.2590124</v>
      </c>
      <c r="BD81" t="str">
        <f t="shared" si="13"/>
        <v>0.251745848</v>
      </c>
      <c r="BE81" t="str">
        <f t="shared" si="13"/>
        <v>3.519318394</v>
      </c>
      <c r="BF81" t="str">
        <f t="shared" si="13"/>
        <v>0.770914494</v>
      </c>
      <c r="BG81" t="str">
        <f t="shared" si="13"/>
        <v>0.117334951</v>
      </c>
      <c r="BH81" t="str">
        <f t="shared" si="13"/>
        <v>0.950948985</v>
      </c>
      <c r="BI81" t="str">
        <f t="shared" si="13"/>
        <v>85.61917852</v>
      </c>
      <c r="BJ81" t="str">
        <f t="shared" si="13"/>
        <v>17.52835613</v>
      </c>
    </row>
    <row r="82" spans="1:62" x14ac:dyDescent="0.25">
      <c r="A82" s="3" t="s">
        <v>546</v>
      </c>
      <c r="B82" t="s">
        <v>483</v>
      </c>
      <c r="C82" t="s">
        <v>246</v>
      </c>
      <c r="D82" t="s">
        <v>312</v>
      </c>
      <c r="E82">
        <v>81</v>
      </c>
      <c r="F82">
        <v>6.1818033080000001</v>
      </c>
      <c r="G82">
        <v>18.093296649999999</v>
      </c>
      <c r="H82">
        <v>11.91149334</v>
      </c>
      <c r="I82">
        <v>258.89635490000001</v>
      </c>
      <c r="J82">
        <v>2585.9946060000002</v>
      </c>
      <c r="K82">
        <v>696.41595930000005</v>
      </c>
      <c r="L82">
        <v>12.48005378</v>
      </c>
      <c r="M82">
        <v>259.63642329999999</v>
      </c>
      <c r="N82">
        <v>12.43435195</v>
      </c>
      <c r="O82">
        <v>308.33475929999997</v>
      </c>
      <c r="P82">
        <v>0.739453731</v>
      </c>
      <c r="Q82">
        <v>0.90963214400000003</v>
      </c>
      <c r="R82">
        <v>0.417085133</v>
      </c>
      <c r="S82">
        <v>1.943785085</v>
      </c>
      <c r="T82">
        <v>0.85649530600000001</v>
      </c>
      <c r="U82">
        <v>1.2453902569999999</v>
      </c>
      <c r="V82">
        <v>18.719060750000001</v>
      </c>
      <c r="W82">
        <v>25.2590124</v>
      </c>
      <c r="X82">
        <v>3.8446777380000001</v>
      </c>
      <c r="Y82">
        <v>17.875973089999999</v>
      </c>
      <c r="Z82">
        <v>27.2590124</v>
      </c>
      <c r="AA82">
        <v>0.25174584799999999</v>
      </c>
      <c r="AB82">
        <v>3.5193183939999999</v>
      </c>
      <c r="AC82">
        <v>0.77091449400000001</v>
      </c>
      <c r="AD82">
        <v>0.11733495100000001</v>
      </c>
      <c r="AE82">
        <v>0.95094898500000002</v>
      </c>
      <c r="AF82">
        <v>85.619178520000006</v>
      </c>
      <c r="AG82">
        <v>17.528356129999999</v>
      </c>
      <c r="AI82" t="str">
        <f t="shared" si="12"/>
        <v>6.181803308</v>
      </c>
      <c r="AJ82" t="str">
        <f t="shared" si="14"/>
        <v>18.09329665</v>
      </c>
      <c r="AK82" t="str">
        <f t="shared" si="14"/>
        <v>11.91149334</v>
      </c>
      <c r="AL82" t="str">
        <f t="shared" si="14"/>
        <v>258.8963549</v>
      </c>
      <c r="AM82" t="str">
        <f t="shared" si="14"/>
        <v>2585.994606</v>
      </c>
      <c r="AN82" t="str">
        <f t="shared" si="14"/>
        <v>696.4159593</v>
      </c>
      <c r="AO82" t="str">
        <f t="shared" si="14"/>
        <v>12.48005378</v>
      </c>
      <c r="AP82" t="str">
        <f t="shared" si="14"/>
        <v>259.6364233</v>
      </c>
      <c r="AQ82" t="str">
        <f t="shared" si="14"/>
        <v>12.43435195</v>
      </c>
      <c r="AR82" t="str">
        <f t="shared" si="14"/>
        <v>308.3347593</v>
      </c>
      <c r="AS82" t="str">
        <f t="shared" si="14"/>
        <v>0.739453731</v>
      </c>
      <c r="AT82" t="str">
        <f t="shared" si="14"/>
        <v>0.909632144</v>
      </c>
      <c r="AU82" t="str">
        <f t="shared" si="14"/>
        <v>0.417085133</v>
      </c>
      <c r="AV82" t="str">
        <f t="shared" si="14"/>
        <v>1.943785085</v>
      </c>
      <c r="AW82" t="str">
        <f t="shared" si="14"/>
        <v>0.856495306</v>
      </c>
      <c r="AX82" t="str">
        <f t="shared" si="14"/>
        <v>1.245390257</v>
      </c>
      <c r="AY82" t="str">
        <f t="shared" si="13"/>
        <v>18.71906075</v>
      </c>
      <c r="AZ82" t="str">
        <f t="shared" si="13"/>
        <v>25.2590124</v>
      </c>
      <c r="BA82" t="str">
        <f t="shared" si="13"/>
        <v>3.844677738</v>
      </c>
      <c r="BB82" t="str">
        <f t="shared" si="13"/>
        <v>17.87597309</v>
      </c>
      <c r="BC82" t="str">
        <f t="shared" si="13"/>
        <v>27.2590124</v>
      </c>
      <c r="BD82" t="str">
        <f t="shared" si="13"/>
        <v>0.251745848</v>
      </c>
      <c r="BE82" t="str">
        <f t="shared" si="13"/>
        <v>3.519318394</v>
      </c>
      <c r="BF82" t="str">
        <f t="shared" si="13"/>
        <v>0.770914494</v>
      </c>
      <c r="BG82" t="str">
        <f t="shared" si="13"/>
        <v>0.117334951</v>
      </c>
      <c r="BH82" t="str">
        <f t="shared" si="13"/>
        <v>0.950948985</v>
      </c>
      <c r="BI82" t="str">
        <f t="shared" si="13"/>
        <v>85.61917852</v>
      </c>
      <c r="BJ82" t="str">
        <f t="shared" si="13"/>
        <v>17.52835613</v>
      </c>
    </row>
    <row r="83" spans="1:62" x14ac:dyDescent="0.25">
      <c r="A83" s="3" t="s">
        <v>547</v>
      </c>
      <c r="B83" t="s">
        <v>484</v>
      </c>
      <c r="C83" t="s">
        <v>246</v>
      </c>
      <c r="D83" t="s">
        <v>313</v>
      </c>
      <c r="E83">
        <v>82</v>
      </c>
      <c r="F83">
        <v>1.34990564</v>
      </c>
      <c r="G83">
        <v>22.803858529999999</v>
      </c>
      <c r="H83">
        <v>21.45395289</v>
      </c>
      <c r="I83">
        <v>342.81115219999998</v>
      </c>
      <c r="J83">
        <v>4035.9301540000001</v>
      </c>
      <c r="K83">
        <v>3557.480834</v>
      </c>
      <c r="L83">
        <v>20.038032730000001</v>
      </c>
      <c r="M83">
        <v>342.84963210000001</v>
      </c>
      <c r="N83">
        <v>20.038032730000001</v>
      </c>
      <c r="O83">
        <v>187.95731710000001</v>
      </c>
      <c r="P83">
        <v>0.33394308900000003</v>
      </c>
      <c r="Q83">
        <v>0.97849593499999998</v>
      </c>
      <c r="R83">
        <v>0.60901718900000001</v>
      </c>
      <c r="S83">
        <v>2.0328252029999998</v>
      </c>
      <c r="T83">
        <v>0.50447412999999997</v>
      </c>
      <c r="U83">
        <v>1.732190981</v>
      </c>
      <c r="V83">
        <v>15.62398374</v>
      </c>
      <c r="W83">
        <v>25.339430889999999</v>
      </c>
      <c r="X83">
        <v>1.756097561</v>
      </c>
      <c r="Y83">
        <v>15.214430889999999</v>
      </c>
      <c r="Z83">
        <v>27.337398369999999</v>
      </c>
      <c r="AA83">
        <v>0.12093495899999999</v>
      </c>
      <c r="AB83">
        <v>1.8838922760000001</v>
      </c>
      <c r="AC83">
        <v>0.39024390199999998</v>
      </c>
      <c r="AD83">
        <v>2.6872383999999999E-2</v>
      </c>
      <c r="AE83">
        <v>0.98747226899999996</v>
      </c>
      <c r="AF83">
        <v>72.151677199999995</v>
      </c>
      <c r="AG83">
        <v>2.7646734730000002</v>
      </c>
      <c r="AI83" t="str">
        <f t="shared" si="12"/>
        <v>1.34990564</v>
      </c>
      <c r="AJ83" t="str">
        <f t="shared" si="14"/>
        <v>22.80385853</v>
      </c>
      <c r="AK83" t="str">
        <f t="shared" si="14"/>
        <v>21.45395289</v>
      </c>
      <c r="AL83" t="str">
        <f t="shared" si="14"/>
        <v>342.8111522</v>
      </c>
      <c r="AM83" t="str">
        <f t="shared" si="14"/>
        <v>4035.930154</v>
      </c>
      <c r="AN83" t="str">
        <f t="shared" si="14"/>
        <v>3557.480834</v>
      </c>
      <c r="AO83" t="str">
        <f t="shared" si="14"/>
        <v>20.03803273</v>
      </c>
      <c r="AP83" t="str">
        <f t="shared" si="14"/>
        <v>342.8496321</v>
      </c>
      <c r="AQ83" t="str">
        <f t="shared" si="14"/>
        <v>20.03803273</v>
      </c>
      <c r="AR83" t="str">
        <f t="shared" si="14"/>
        <v>187.9573171</v>
      </c>
      <c r="AS83" t="str">
        <f t="shared" si="14"/>
        <v>0.333943089</v>
      </c>
      <c r="AT83" t="str">
        <f t="shared" si="14"/>
        <v>0.978495935</v>
      </c>
      <c r="AU83" t="str">
        <f t="shared" si="14"/>
        <v>0.609017189</v>
      </c>
      <c r="AV83" t="str">
        <f t="shared" si="14"/>
        <v>2.032825203</v>
      </c>
      <c r="AW83" t="str">
        <f t="shared" si="14"/>
        <v>0.50447413</v>
      </c>
      <c r="AX83" t="str">
        <f t="shared" si="14"/>
        <v>1.732190981</v>
      </c>
      <c r="AY83" t="str">
        <f t="shared" si="13"/>
        <v>15.62398374</v>
      </c>
      <c r="AZ83" t="str">
        <f t="shared" si="13"/>
        <v>25.33943089</v>
      </c>
      <c r="BA83" t="str">
        <f t="shared" si="13"/>
        <v>1.756097561</v>
      </c>
      <c r="BB83" t="str">
        <f t="shared" si="13"/>
        <v>15.21443089</v>
      </c>
      <c r="BC83" t="str">
        <f t="shared" si="13"/>
        <v>27.33739837</v>
      </c>
      <c r="BD83" t="str">
        <f t="shared" si="13"/>
        <v>0.120934959</v>
      </c>
      <c r="BE83" t="str">
        <f t="shared" si="13"/>
        <v>1.883892276</v>
      </c>
      <c r="BF83" t="str">
        <f t="shared" si="13"/>
        <v>0.390243902</v>
      </c>
      <c r="BG83" t="str">
        <f t="shared" si="13"/>
        <v>0.026872384</v>
      </c>
      <c r="BH83" t="str">
        <f t="shared" si="13"/>
        <v>0.987472269</v>
      </c>
      <c r="BI83" t="str">
        <f t="shared" si="13"/>
        <v>72.1516772</v>
      </c>
      <c r="BJ83" t="str">
        <f t="shared" si="13"/>
        <v>2.764673473</v>
      </c>
    </row>
    <row r="84" spans="1:62" x14ac:dyDescent="0.25">
      <c r="A84" s="3" t="s">
        <v>548</v>
      </c>
      <c r="B84" t="s">
        <v>485</v>
      </c>
      <c r="C84" t="s">
        <v>246</v>
      </c>
      <c r="D84" t="s">
        <v>314</v>
      </c>
      <c r="E84">
        <v>83</v>
      </c>
      <c r="F84">
        <v>1.34990564</v>
      </c>
      <c r="G84">
        <v>22.803858529999999</v>
      </c>
      <c r="H84">
        <v>21.45395289</v>
      </c>
      <c r="I84">
        <v>342.81115219999998</v>
      </c>
      <c r="J84">
        <v>4035.9301540000001</v>
      </c>
      <c r="K84">
        <v>3557.480834</v>
      </c>
      <c r="L84">
        <v>20.038032730000001</v>
      </c>
      <c r="M84">
        <v>342.84963210000001</v>
      </c>
      <c r="N84">
        <v>20.038032730000001</v>
      </c>
      <c r="O84">
        <v>187.95731710000001</v>
      </c>
      <c r="P84">
        <v>0.33394308900000003</v>
      </c>
      <c r="Q84">
        <v>0.97849593499999998</v>
      </c>
      <c r="R84">
        <v>0.60901718900000001</v>
      </c>
      <c r="S84">
        <v>2.0328252029999998</v>
      </c>
      <c r="T84">
        <v>0.50447412999999997</v>
      </c>
      <c r="U84">
        <v>1.732190981</v>
      </c>
      <c r="V84">
        <v>15.62398374</v>
      </c>
      <c r="W84">
        <v>25.339430889999999</v>
      </c>
      <c r="X84">
        <v>1.756097561</v>
      </c>
      <c r="Y84">
        <v>15.214430889999999</v>
      </c>
      <c r="Z84">
        <v>27.337398369999999</v>
      </c>
      <c r="AA84">
        <v>0.12093495899999999</v>
      </c>
      <c r="AB84">
        <v>1.8838922760000001</v>
      </c>
      <c r="AC84">
        <v>0.39024390199999998</v>
      </c>
      <c r="AD84">
        <v>2.6872383999999999E-2</v>
      </c>
      <c r="AE84">
        <v>0.98747226899999996</v>
      </c>
      <c r="AF84">
        <v>72.151677199999995</v>
      </c>
      <c r="AG84">
        <v>2.7646734730000002</v>
      </c>
      <c r="AI84" t="str">
        <f t="shared" si="12"/>
        <v>1.34990564</v>
      </c>
      <c r="AJ84" t="str">
        <f t="shared" si="14"/>
        <v>22.80385853</v>
      </c>
      <c r="AK84" t="str">
        <f t="shared" si="14"/>
        <v>21.45395289</v>
      </c>
      <c r="AL84" t="str">
        <f t="shared" si="14"/>
        <v>342.8111522</v>
      </c>
      <c r="AM84" t="str">
        <f t="shared" si="14"/>
        <v>4035.930154</v>
      </c>
      <c r="AN84" t="str">
        <f t="shared" si="14"/>
        <v>3557.480834</v>
      </c>
      <c r="AO84" t="str">
        <f t="shared" si="14"/>
        <v>20.03803273</v>
      </c>
      <c r="AP84" t="str">
        <f t="shared" si="14"/>
        <v>342.8496321</v>
      </c>
      <c r="AQ84" t="str">
        <f t="shared" si="14"/>
        <v>20.03803273</v>
      </c>
      <c r="AR84" t="str">
        <f t="shared" si="14"/>
        <v>187.9573171</v>
      </c>
      <c r="AS84" t="str">
        <f t="shared" si="14"/>
        <v>0.333943089</v>
      </c>
      <c r="AT84" t="str">
        <f t="shared" si="14"/>
        <v>0.978495935</v>
      </c>
      <c r="AU84" t="str">
        <f t="shared" si="14"/>
        <v>0.609017189</v>
      </c>
      <c r="AV84" t="str">
        <f t="shared" si="14"/>
        <v>2.032825203</v>
      </c>
      <c r="AW84" t="str">
        <f t="shared" si="14"/>
        <v>0.50447413</v>
      </c>
      <c r="AX84" t="str">
        <f t="shared" si="14"/>
        <v>1.732190981</v>
      </c>
      <c r="AY84" t="str">
        <f t="shared" si="13"/>
        <v>15.62398374</v>
      </c>
      <c r="AZ84" t="str">
        <f t="shared" si="13"/>
        <v>25.33943089</v>
      </c>
      <c r="BA84" t="str">
        <f t="shared" si="13"/>
        <v>1.756097561</v>
      </c>
      <c r="BB84" t="str">
        <f t="shared" si="13"/>
        <v>15.21443089</v>
      </c>
      <c r="BC84" t="str">
        <f t="shared" si="13"/>
        <v>27.33739837</v>
      </c>
      <c r="BD84" t="str">
        <f t="shared" si="13"/>
        <v>0.120934959</v>
      </c>
      <c r="BE84" t="str">
        <f t="shared" si="13"/>
        <v>1.883892276</v>
      </c>
      <c r="BF84" t="str">
        <f t="shared" si="13"/>
        <v>0.390243902</v>
      </c>
      <c r="BG84" t="str">
        <f t="shared" si="13"/>
        <v>0.026872384</v>
      </c>
      <c r="BH84" t="str">
        <f t="shared" si="13"/>
        <v>0.987472269</v>
      </c>
      <c r="BI84" t="str">
        <f t="shared" si="13"/>
        <v>72.1516772</v>
      </c>
      <c r="BJ84" t="str">
        <f t="shared" si="13"/>
        <v>2.764673473</v>
      </c>
    </row>
    <row r="85" spans="1:62" x14ac:dyDescent="0.25">
      <c r="A85" s="3" t="s">
        <v>549</v>
      </c>
      <c r="B85" t="s">
        <v>486</v>
      </c>
      <c r="C85" t="s">
        <v>246</v>
      </c>
      <c r="D85" t="s">
        <v>315</v>
      </c>
      <c r="E85">
        <v>84</v>
      </c>
      <c r="F85">
        <v>5.7121617799999997</v>
      </c>
      <c r="G85">
        <v>19.014052790000001</v>
      </c>
      <c r="H85">
        <v>13.30189101</v>
      </c>
      <c r="I85">
        <v>270.38437779999998</v>
      </c>
      <c r="J85">
        <v>2831.8285839999999</v>
      </c>
      <c r="K85">
        <v>1004.663492</v>
      </c>
      <c r="L85">
        <v>13.77977727</v>
      </c>
      <c r="M85">
        <v>270.38437779999998</v>
      </c>
      <c r="N85">
        <v>13.49792057</v>
      </c>
      <c r="O85">
        <v>222.5450902</v>
      </c>
      <c r="P85">
        <v>0.668136273</v>
      </c>
      <c r="Q85">
        <v>0.96588176400000003</v>
      </c>
      <c r="R85">
        <v>0.67166543999999995</v>
      </c>
      <c r="S85">
        <v>1.4750501</v>
      </c>
      <c r="T85">
        <v>0.86769238599999998</v>
      </c>
      <c r="U85">
        <v>1.3283598560000001</v>
      </c>
      <c r="V85">
        <v>20.136272550000001</v>
      </c>
      <c r="W85">
        <v>24.298597189999999</v>
      </c>
      <c r="X85">
        <v>3.7274549100000001</v>
      </c>
      <c r="Y85">
        <v>19.200400800000001</v>
      </c>
      <c r="Z85">
        <v>26.298597189999999</v>
      </c>
      <c r="AA85">
        <v>0.29659318600000001</v>
      </c>
      <c r="AB85">
        <v>5.362675351</v>
      </c>
      <c r="AC85">
        <v>1.203406814</v>
      </c>
      <c r="AD85">
        <v>0.174829494</v>
      </c>
      <c r="AE85">
        <v>0.92800373199999997</v>
      </c>
      <c r="AF85">
        <v>72.593081699999999</v>
      </c>
      <c r="AG85">
        <v>5.8605499160000001</v>
      </c>
      <c r="AI85" t="str">
        <f t="shared" si="12"/>
        <v>5.71216178</v>
      </c>
      <c r="AJ85" t="str">
        <f t="shared" si="14"/>
        <v>19.01405279</v>
      </c>
      <c r="AK85" t="str">
        <f t="shared" si="14"/>
        <v>13.30189101</v>
      </c>
      <c r="AL85" t="str">
        <f t="shared" si="14"/>
        <v>270.3843778</v>
      </c>
      <c r="AM85" t="str">
        <f t="shared" si="14"/>
        <v>2831.828584</v>
      </c>
      <c r="AN85" t="str">
        <f t="shared" si="14"/>
        <v>1004.663492</v>
      </c>
      <c r="AO85" t="str">
        <f t="shared" si="14"/>
        <v>13.77977727</v>
      </c>
      <c r="AP85" t="str">
        <f t="shared" si="14"/>
        <v>270.3843778</v>
      </c>
      <c r="AQ85" t="str">
        <f t="shared" si="14"/>
        <v>13.49792057</v>
      </c>
      <c r="AR85" t="str">
        <f t="shared" si="14"/>
        <v>222.5450902</v>
      </c>
      <c r="AS85" t="str">
        <f t="shared" si="14"/>
        <v>0.668136273</v>
      </c>
      <c r="AT85" t="str">
        <f t="shared" si="14"/>
        <v>0.965881764</v>
      </c>
      <c r="AU85" t="str">
        <f t="shared" si="14"/>
        <v>0.67166544</v>
      </c>
      <c r="AV85" t="str">
        <f t="shared" si="14"/>
        <v>1.4750501</v>
      </c>
      <c r="AW85" t="str">
        <f t="shared" si="14"/>
        <v>0.867692386</v>
      </c>
      <c r="AX85" t="str">
        <f t="shared" si="14"/>
        <v>1.328359856</v>
      </c>
      <c r="AY85" t="str">
        <f t="shared" si="13"/>
        <v>20.13627255</v>
      </c>
      <c r="AZ85" t="str">
        <f t="shared" si="13"/>
        <v>24.29859719</v>
      </c>
      <c r="BA85" t="str">
        <f t="shared" si="13"/>
        <v>3.72745491</v>
      </c>
      <c r="BB85" t="str">
        <f t="shared" si="13"/>
        <v>19.2004008</v>
      </c>
      <c r="BC85" t="str">
        <f t="shared" si="13"/>
        <v>26.29859719</v>
      </c>
      <c r="BD85" t="str">
        <f t="shared" si="13"/>
        <v>0.296593186</v>
      </c>
      <c r="BE85" t="str">
        <f t="shared" si="13"/>
        <v>5.362675351</v>
      </c>
      <c r="BF85" t="str">
        <f t="shared" si="13"/>
        <v>1.203406814</v>
      </c>
      <c r="BG85" t="str">
        <f t="shared" si="13"/>
        <v>0.174829494</v>
      </c>
      <c r="BH85" t="str">
        <f t="shared" si="13"/>
        <v>0.928003732</v>
      </c>
      <c r="BI85" t="str">
        <f t="shared" si="13"/>
        <v>72.5930817</v>
      </c>
      <c r="BJ85" t="str">
        <f t="shared" si="13"/>
        <v>5.860549916</v>
      </c>
    </row>
    <row r="86" spans="1:62" x14ac:dyDescent="0.25">
      <c r="A86" s="3" t="s">
        <v>550</v>
      </c>
      <c r="B86" t="s">
        <v>487</v>
      </c>
      <c r="C86" t="s">
        <v>246</v>
      </c>
      <c r="D86" t="s">
        <v>316</v>
      </c>
      <c r="E86">
        <v>85</v>
      </c>
      <c r="F86">
        <v>6.1818033080000001</v>
      </c>
      <c r="G86">
        <v>18.093296649999999</v>
      </c>
      <c r="H86">
        <v>11.91149334</v>
      </c>
      <c r="I86">
        <v>258.89635490000001</v>
      </c>
      <c r="J86">
        <v>2585.9946060000002</v>
      </c>
      <c r="K86">
        <v>696.41595930000005</v>
      </c>
      <c r="L86">
        <v>12.48005378</v>
      </c>
      <c r="M86">
        <v>259.63642329999999</v>
      </c>
      <c r="N86">
        <v>12.43435195</v>
      </c>
      <c r="O86">
        <v>308.33475929999997</v>
      </c>
      <c r="P86">
        <v>0.739453731</v>
      </c>
      <c r="Q86">
        <v>0.90963214400000003</v>
      </c>
      <c r="R86">
        <v>0.417085133</v>
      </c>
      <c r="S86">
        <v>1.943785085</v>
      </c>
      <c r="T86">
        <v>0.85649530600000001</v>
      </c>
      <c r="U86">
        <v>1.2453902569999999</v>
      </c>
      <c r="V86">
        <v>18.719060750000001</v>
      </c>
      <c r="W86">
        <v>25.2590124</v>
      </c>
      <c r="X86">
        <v>3.8446777380000001</v>
      </c>
      <c r="Y86">
        <v>17.875973089999999</v>
      </c>
      <c r="Z86">
        <v>27.2590124</v>
      </c>
      <c r="AA86">
        <v>0.25174584799999999</v>
      </c>
      <c r="AB86">
        <v>3.5193183939999999</v>
      </c>
      <c r="AC86">
        <v>0.77091449400000001</v>
      </c>
      <c r="AD86">
        <v>0.11733495100000001</v>
      </c>
      <c r="AE86">
        <v>0.95094898500000002</v>
      </c>
      <c r="AF86">
        <v>85.619178520000006</v>
      </c>
      <c r="AG86">
        <v>17.528356129999999</v>
      </c>
      <c r="AI86" t="str">
        <f t="shared" si="12"/>
        <v>6.181803308</v>
      </c>
      <c r="AJ86" t="str">
        <f t="shared" si="14"/>
        <v>18.09329665</v>
      </c>
      <c r="AK86" t="str">
        <f t="shared" si="14"/>
        <v>11.91149334</v>
      </c>
      <c r="AL86" t="str">
        <f t="shared" si="14"/>
        <v>258.8963549</v>
      </c>
      <c r="AM86" t="str">
        <f t="shared" si="14"/>
        <v>2585.994606</v>
      </c>
      <c r="AN86" t="str">
        <f t="shared" si="14"/>
        <v>696.4159593</v>
      </c>
      <c r="AO86" t="str">
        <f t="shared" si="14"/>
        <v>12.48005378</v>
      </c>
      <c r="AP86" t="str">
        <f t="shared" si="14"/>
        <v>259.6364233</v>
      </c>
      <c r="AQ86" t="str">
        <f t="shared" si="14"/>
        <v>12.43435195</v>
      </c>
      <c r="AR86" t="str">
        <f t="shared" si="14"/>
        <v>308.3347593</v>
      </c>
      <c r="AS86" t="str">
        <f t="shared" si="14"/>
        <v>0.739453731</v>
      </c>
      <c r="AT86" t="str">
        <f t="shared" si="14"/>
        <v>0.909632144</v>
      </c>
      <c r="AU86" t="str">
        <f t="shared" si="14"/>
        <v>0.417085133</v>
      </c>
      <c r="AV86" t="str">
        <f t="shared" si="14"/>
        <v>1.943785085</v>
      </c>
      <c r="AW86" t="str">
        <f t="shared" si="14"/>
        <v>0.856495306</v>
      </c>
      <c r="AX86" t="str">
        <f t="shared" si="14"/>
        <v>1.245390257</v>
      </c>
      <c r="AY86" t="str">
        <f t="shared" si="13"/>
        <v>18.71906075</v>
      </c>
      <c r="AZ86" t="str">
        <f t="shared" si="13"/>
        <v>25.2590124</v>
      </c>
      <c r="BA86" t="str">
        <f t="shared" si="13"/>
        <v>3.844677738</v>
      </c>
      <c r="BB86" t="str">
        <f t="shared" si="13"/>
        <v>17.87597309</v>
      </c>
      <c r="BC86" t="str">
        <f t="shared" si="13"/>
        <v>27.2590124</v>
      </c>
      <c r="BD86" t="str">
        <f t="shared" si="13"/>
        <v>0.251745848</v>
      </c>
      <c r="BE86" t="str">
        <f t="shared" si="13"/>
        <v>3.519318394</v>
      </c>
      <c r="BF86" t="str">
        <f t="shared" si="13"/>
        <v>0.770914494</v>
      </c>
      <c r="BG86" t="str">
        <f t="shared" si="13"/>
        <v>0.117334951</v>
      </c>
      <c r="BH86" t="str">
        <f t="shared" si="13"/>
        <v>0.950948985</v>
      </c>
      <c r="BI86" t="str">
        <f t="shared" si="13"/>
        <v>85.61917852</v>
      </c>
      <c r="BJ86" t="str">
        <f t="shared" si="13"/>
        <v>17.52835613</v>
      </c>
    </row>
    <row r="87" spans="1:62" x14ac:dyDescent="0.25">
      <c r="A87" s="3" t="s">
        <v>551</v>
      </c>
      <c r="B87" t="s">
        <v>488</v>
      </c>
      <c r="C87" t="s">
        <v>246</v>
      </c>
      <c r="D87" t="s">
        <v>317</v>
      </c>
      <c r="E87">
        <v>86</v>
      </c>
      <c r="F87">
        <v>6.1818033080000001</v>
      </c>
      <c r="G87">
        <v>18.093296649999999</v>
      </c>
      <c r="H87">
        <v>11.91149334</v>
      </c>
      <c r="I87">
        <v>258.89635490000001</v>
      </c>
      <c r="J87">
        <v>2585.9946060000002</v>
      </c>
      <c r="K87">
        <v>696.41595930000005</v>
      </c>
      <c r="L87">
        <v>12.48005378</v>
      </c>
      <c r="M87">
        <v>259.63642329999999</v>
      </c>
      <c r="N87">
        <v>12.43435195</v>
      </c>
      <c r="O87">
        <v>308.33475929999997</v>
      </c>
      <c r="P87">
        <v>0.739453731</v>
      </c>
      <c r="Q87">
        <v>0.90963214400000003</v>
      </c>
      <c r="R87">
        <v>0.417085133</v>
      </c>
      <c r="S87">
        <v>1.943785085</v>
      </c>
      <c r="T87">
        <v>0.85649530600000001</v>
      </c>
      <c r="U87">
        <v>1.2453902569999999</v>
      </c>
      <c r="V87">
        <v>18.719060750000001</v>
      </c>
      <c r="W87">
        <v>25.2590124</v>
      </c>
      <c r="X87">
        <v>3.8446777380000001</v>
      </c>
      <c r="Y87">
        <v>17.875973089999999</v>
      </c>
      <c r="Z87">
        <v>27.2590124</v>
      </c>
      <c r="AA87">
        <v>0.25174584799999999</v>
      </c>
      <c r="AB87">
        <v>3.5193183939999999</v>
      </c>
      <c r="AC87">
        <v>0.77091449400000001</v>
      </c>
      <c r="AD87">
        <v>0.11733495100000001</v>
      </c>
      <c r="AE87">
        <v>0.95094898500000002</v>
      </c>
      <c r="AF87">
        <v>85.619178520000006</v>
      </c>
      <c r="AG87">
        <v>17.528356129999999</v>
      </c>
      <c r="AI87" t="str">
        <f t="shared" si="12"/>
        <v>6.181803308</v>
      </c>
      <c r="AJ87" t="str">
        <f t="shared" si="14"/>
        <v>18.09329665</v>
      </c>
      <c r="AK87" t="str">
        <f t="shared" si="14"/>
        <v>11.91149334</v>
      </c>
      <c r="AL87" t="str">
        <f t="shared" si="14"/>
        <v>258.8963549</v>
      </c>
      <c r="AM87" t="str">
        <f t="shared" si="14"/>
        <v>2585.994606</v>
      </c>
      <c r="AN87" t="str">
        <f t="shared" si="14"/>
        <v>696.4159593</v>
      </c>
      <c r="AO87" t="str">
        <f t="shared" si="14"/>
        <v>12.48005378</v>
      </c>
      <c r="AP87" t="str">
        <f t="shared" si="14"/>
        <v>259.6364233</v>
      </c>
      <c r="AQ87" t="str">
        <f t="shared" si="14"/>
        <v>12.43435195</v>
      </c>
      <c r="AR87" t="str">
        <f t="shared" si="14"/>
        <v>308.3347593</v>
      </c>
      <c r="AS87" t="str">
        <f t="shared" si="14"/>
        <v>0.739453731</v>
      </c>
      <c r="AT87" t="str">
        <f t="shared" si="14"/>
        <v>0.909632144</v>
      </c>
      <c r="AU87" t="str">
        <f t="shared" si="14"/>
        <v>0.417085133</v>
      </c>
      <c r="AV87" t="str">
        <f t="shared" si="14"/>
        <v>1.943785085</v>
      </c>
      <c r="AW87" t="str">
        <f t="shared" si="14"/>
        <v>0.856495306</v>
      </c>
      <c r="AX87" t="str">
        <f t="shared" si="14"/>
        <v>1.245390257</v>
      </c>
      <c r="AY87" t="str">
        <f t="shared" si="13"/>
        <v>18.71906075</v>
      </c>
      <c r="AZ87" t="str">
        <f t="shared" si="13"/>
        <v>25.2590124</v>
      </c>
      <c r="BA87" t="str">
        <f t="shared" si="13"/>
        <v>3.844677738</v>
      </c>
      <c r="BB87" t="str">
        <f t="shared" si="13"/>
        <v>17.87597309</v>
      </c>
      <c r="BC87" t="str">
        <f t="shared" si="13"/>
        <v>27.2590124</v>
      </c>
      <c r="BD87" t="str">
        <f t="shared" si="13"/>
        <v>0.251745848</v>
      </c>
      <c r="BE87" t="str">
        <f t="shared" si="13"/>
        <v>3.519318394</v>
      </c>
      <c r="BF87" t="str">
        <f t="shared" si="13"/>
        <v>0.770914494</v>
      </c>
      <c r="BG87" t="str">
        <f t="shared" si="13"/>
        <v>0.117334951</v>
      </c>
      <c r="BH87" t="str">
        <f t="shared" si="13"/>
        <v>0.950948985</v>
      </c>
      <c r="BI87" t="str">
        <f t="shared" si="13"/>
        <v>85.61917852</v>
      </c>
      <c r="BJ87" t="str">
        <f t="shared" si="13"/>
        <v>17.52835613</v>
      </c>
    </row>
    <row r="88" spans="1:62" x14ac:dyDescent="0.25">
      <c r="A88" s="3" t="s">
        <v>552</v>
      </c>
      <c r="B88" t="s">
        <v>489</v>
      </c>
      <c r="C88" t="s">
        <v>246</v>
      </c>
      <c r="D88" t="s">
        <v>318</v>
      </c>
      <c r="E88">
        <v>87</v>
      </c>
      <c r="F88">
        <v>6.1818033080000001</v>
      </c>
      <c r="G88">
        <v>18.093296649999999</v>
      </c>
      <c r="H88">
        <v>11.91149334</v>
      </c>
      <c r="I88">
        <v>258.89635490000001</v>
      </c>
      <c r="J88">
        <v>2585.9946060000002</v>
      </c>
      <c r="K88">
        <v>696.41595930000005</v>
      </c>
      <c r="L88">
        <v>12.48005378</v>
      </c>
      <c r="M88">
        <v>259.63642329999999</v>
      </c>
      <c r="N88">
        <v>12.43435195</v>
      </c>
      <c r="O88">
        <v>308.33475929999997</v>
      </c>
      <c r="P88">
        <v>0.739453731</v>
      </c>
      <c r="Q88">
        <v>0.90963214400000003</v>
      </c>
      <c r="R88">
        <v>0.417085133</v>
      </c>
      <c r="S88">
        <v>1.943785085</v>
      </c>
      <c r="T88">
        <v>0.85649530600000001</v>
      </c>
      <c r="U88">
        <v>1.2453902569999999</v>
      </c>
      <c r="V88">
        <v>18.719060750000001</v>
      </c>
      <c r="W88">
        <v>25.2590124</v>
      </c>
      <c r="X88">
        <v>3.8446777380000001</v>
      </c>
      <c r="Y88">
        <v>17.875973089999999</v>
      </c>
      <c r="Z88">
        <v>27.2590124</v>
      </c>
      <c r="AA88">
        <v>0.25174584799999999</v>
      </c>
      <c r="AB88">
        <v>3.5193183939999999</v>
      </c>
      <c r="AC88">
        <v>0.77091449400000001</v>
      </c>
      <c r="AD88">
        <v>0.11733495100000001</v>
      </c>
      <c r="AE88">
        <v>0.95094898500000002</v>
      </c>
      <c r="AF88">
        <v>85.619178520000006</v>
      </c>
      <c r="AG88">
        <v>17.528356129999999</v>
      </c>
      <c r="AI88" t="str">
        <f t="shared" si="12"/>
        <v>6.181803308</v>
      </c>
      <c r="AJ88" t="str">
        <f t="shared" si="14"/>
        <v>18.09329665</v>
      </c>
      <c r="AK88" t="str">
        <f t="shared" si="14"/>
        <v>11.91149334</v>
      </c>
      <c r="AL88" t="str">
        <f t="shared" si="14"/>
        <v>258.8963549</v>
      </c>
      <c r="AM88" t="str">
        <f t="shared" si="14"/>
        <v>2585.994606</v>
      </c>
      <c r="AN88" t="str">
        <f t="shared" si="14"/>
        <v>696.4159593</v>
      </c>
      <c r="AO88" t="str">
        <f t="shared" si="14"/>
        <v>12.48005378</v>
      </c>
      <c r="AP88" t="str">
        <f t="shared" si="14"/>
        <v>259.6364233</v>
      </c>
      <c r="AQ88" t="str">
        <f t="shared" si="14"/>
        <v>12.43435195</v>
      </c>
      <c r="AR88" t="str">
        <f t="shared" si="14"/>
        <v>308.3347593</v>
      </c>
      <c r="AS88" t="str">
        <f t="shared" si="14"/>
        <v>0.739453731</v>
      </c>
      <c r="AT88" t="str">
        <f t="shared" si="14"/>
        <v>0.909632144</v>
      </c>
      <c r="AU88" t="str">
        <f t="shared" si="14"/>
        <v>0.417085133</v>
      </c>
      <c r="AV88" t="str">
        <f t="shared" si="14"/>
        <v>1.943785085</v>
      </c>
      <c r="AW88" t="str">
        <f t="shared" si="14"/>
        <v>0.856495306</v>
      </c>
      <c r="AX88" t="str">
        <f t="shared" si="14"/>
        <v>1.245390257</v>
      </c>
      <c r="AY88" t="str">
        <f t="shared" si="13"/>
        <v>18.71906075</v>
      </c>
      <c r="AZ88" t="str">
        <f t="shared" si="13"/>
        <v>25.2590124</v>
      </c>
      <c r="BA88" t="str">
        <f t="shared" si="13"/>
        <v>3.844677738</v>
      </c>
      <c r="BB88" t="str">
        <f t="shared" si="13"/>
        <v>17.87597309</v>
      </c>
      <c r="BC88" t="str">
        <f t="shared" si="13"/>
        <v>27.2590124</v>
      </c>
      <c r="BD88" t="str">
        <f t="shared" si="13"/>
        <v>0.251745848</v>
      </c>
      <c r="BE88" t="str">
        <f t="shared" si="13"/>
        <v>3.519318394</v>
      </c>
      <c r="BF88" t="str">
        <f t="shared" si="13"/>
        <v>0.770914494</v>
      </c>
      <c r="BG88" t="str">
        <f t="shared" si="13"/>
        <v>0.117334951</v>
      </c>
      <c r="BH88" t="str">
        <f t="shared" si="13"/>
        <v>0.950948985</v>
      </c>
      <c r="BI88" t="str">
        <f t="shared" si="13"/>
        <v>85.61917852</v>
      </c>
      <c r="BJ88" t="str">
        <f t="shared" si="13"/>
        <v>17.52835613</v>
      </c>
    </row>
    <row r="89" spans="1:62" x14ac:dyDescent="0.25">
      <c r="A89" s="3" t="s">
        <v>553</v>
      </c>
      <c r="B89" t="s">
        <v>490</v>
      </c>
      <c r="C89" t="s">
        <v>246</v>
      </c>
      <c r="D89" t="s">
        <v>17</v>
      </c>
      <c r="E89">
        <v>88</v>
      </c>
      <c r="F89">
        <v>2.4520261520000002</v>
      </c>
      <c r="G89">
        <v>21.906753330000001</v>
      </c>
      <c r="H89">
        <v>19.454727179999999</v>
      </c>
      <c r="I89">
        <v>324.82804470000002</v>
      </c>
      <c r="J89">
        <v>3754.8082279999999</v>
      </c>
      <c r="K89">
        <v>2904.129911</v>
      </c>
      <c r="L89">
        <v>18.07275495</v>
      </c>
      <c r="M89">
        <v>324.82804470000002</v>
      </c>
      <c r="N89">
        <v>18.07275495</v>
      </c>
      <c r="O89">
        <v>275.07004999999998</v>
      </c>
      <c r="P89">
        <v>0.70977246800000005</v>
      </c>
      <c r="Q89">
        <v>0.97677417</v>
      </c>
      <c r="R89">
        <v>0.62688032599999999</v>
      </c>
      <c r="S89">
        <v>1.3517130070000001</v>
      </c>
      <c r="T89">
        <v>0.66706491000000001</v>
      </c>
      <c r="U89">
        <v>1.216447345</v>
      </c>
      <c r="V89">
        <v>21</v>
      </c>
      <c r="W89">
        <v>24</v>
      </c>
      <c r="X89">
        <v>4</v>
      </c>
      <c r="Y89">
        <v>20</v>
      </c>
      <c r="Z89">
        <v>26</v>
      </c>
      <c r="AA89">
        <v>7.2985414999999998E-2</v>
      </c>
      <c r="AB89">
        <v>1.33244008</v>
      </c>
      <c r="AC89">
        <v>0.26794805199999999</v>
      </c>
      <c r="AD89">
        <v>2.1470767000000002E-2</v>
      </c>
      <c r="AE89">
        <v>0.98861033899999995</v>
      </c>
      <c r="AF89">
        <v>70.014442459999998</v>
      </c>
      <c r="AG89">
        <v>69.896437120000002</v>
      </c>
      <c r="AI89" t="str">
        <f t="shared" si="12"/>
        <v>2.452026152</v>
      </c>
      <c r="AJ89" t="str">
        <f t="shared" si="14"/>
        <v>21.90675333</v>
      </c>
      <c r="AK89" t="str">
        <f t="shared" si="14"/>
        <v>19.45472718</v>
      </c>
      <c r="AL89" t="str">
        <f t="shared" si="14"/>
        <v>324.8280447</v>
      </c>
      <c r="AM89" t="str">
        <f t="shared" si="14"/>
        <v>3754.808228</v>
      </c>
      <c r="AN89" t="str">
        <f t="shared" si="14"/>
        <v>2904.129911</v>
      </c>
      <c r="AO89" t="str">
        <f t="shared" si="14"/>
        <v>18.07275495</v>
      </c>
      <c r="AP89" t="str">
        <f t="shared" si="14"/>
        <v>324.8280447</v>
      </c>
      <c r="AQ89" t="str">
        <f t="shared" si="14"/>
        <v>18.07275495</v>
      </c>
      <c r="AR89" t="str">
        <f t="shared" si="14"/>
        <v>275.07005</v>
      </c>
      <c r="AS89" t="str">
        <f t="shared" si="14"/>
        <v>0.709772468</v>
      </c>
      <c r="AT89" t="str">
        <f t="shared" si="14"/>
        <v>0.97677417</v>
      </c>
      <c r="AU89" t="str">
        <f t="shared" si="14"/>
        <v>0.626880326</v>
      </c>
      <c r="AV89" t="str">
        <f t="shared" si="14"/>
        <v>1.351713007</v>
      </c>
      <c r="AW89" t="str">
        <f t="shared" si="14"/>
        <v>0.66706491</v>
      </c>
      <c r="AX89" t="str">
        <f t="shared" si="14"/>
        <v>1.216447345</v>
      </c>
      <c r="AY89">
        <f t="shared" si="13"/>
        <v>21</v>
      </c>
      <c r="AZ89">
        <f t="shared" si="13"/>
        <v>24</v>
      </c>
      <c r="BA89">
        <f t="shared" si="13"/>
        <v>4</v>
      </c>
      <c r="BB89">
        <f t="shared" si="13"/>
        <v>20</v>
      </c>
      <c r="BC89">
        <f t="shared" si="13"/>
        <v>26</v>
      </c>
      <c r="BD89" t="str">
        <f t="shared" si="13"/>
        <v>0.072985415</v>
      </c>
      <c r="BE89" t="str">
        <f t="shared" si="13"/>
        <v>1.33244008</v>
      </c>
      <c r="BF89" t="str">
        <f t="shared" si="13"/>
        <v>0.267948052</v>
      </c>
      <c r="BG89" t="str">
        <f t="shared" si="13"/>
        <v>0.021470767</v>
      </c>
      <c r="BH89" t="str">
        <f t="shared" si="13"/>
        <v>0.988610339</v>
      </c>
      <c r="BI89" t="str">
        <f t="shared" si="13"/>
        <v>70.01444246</v>
      </c>
      <c r="BJ89" t="str">
        <f t="shared" si="13"/>
        <v>69.89643712</v>
      </c>
    </row>
    <row r="90" spans="1:62" x14ac:dyDescent="0.25">
      <c r="A90" s="3" t="s">
        <v>554</v>
      </c>
      <c r="B90" t="s">
        <v>491</v>
      </c>
      <c r="C90" t="s">
        <v>18</v>
      </c>
      <c r="D90" s="26"/>
      <c r="E90">
        <v>89</v>
      </c>
      <c r="F90">
        <v>7.6508709960000001</v>
      </c>
      <c r="G90">
        <v>19.59862923</v>
      </c>
      <c r="H90">
        <v>11.94775823</v>
      </c>
      <c r="I90">
        <v>287.69437360000001</v>
      </c>
      <c r="J90">
        <v>2890.258214</v>
      </c>
      <c r="K90">
        <v>575.33635119999997</v>
      </c>
      <c r="L90">
        <v>13.81155064</v>
      </c>
      <c r="M90">
        <v>287.8321396</v>
      </c>
      <c r="N90">
        <v>13.767661049999999</v>
      </c>
      <c r="O90">
        <v>261.73520559999997</v>
      </c>
      <c r="P90">
        <v>0.77151454399999997</v>
      </c>
      <c r="Q90">
        <v>0.94632898700000001</v>
      </c>
      <c r="R90">
        <v>0.22436751199999999</v>
      </c>
      <c r="S90">
        <v>2.1055165499999999</v>
      </c>
      <c r="T90">
        <v>0.98289395499999999</v>
      </c>
      <c r="U90">
        <v>1.2807725080000001</v>
      </c>
      <c r="V90">
        <v>20.904714139999999</v>
      </c>
      <c r="W90">
        <v>24.04012036</v>
      </c>
      <c r="X90">
        <v>3.9679037109999999</v>
      </c>
      <c r="Y90">
        <v>19.908726179999999</v>
      </c>
      <c r="Z90">
        <v>26.04012036</v>
      </c>
      <c r="AA90">
        <v>0.75526579699999996</v>
      </c>
      <c r="AB90">
        <v>4.074222668</v>
      </c>
      <c r="AC90">
        <v>1.9536108320000001</v>
      </c>
      <c r="AD90">
        <v>0.39406243499999999</v>
      </c>
      <c r="AE90">
        <v>0.97769613300000002</v>
      </c>
      <c r="AF90">
        <v>70.532616579999996</v>
      </c>
      <c r="AG90">
        <v>-1.451733833</v>
      </c>
      <c r="AI90" t="str">
        <f t="shared" si="12"/>
        <v>7.650870996</v>
      </c>
      <c r="AJ90" t="str">
        <f t="shared" si="14"/>
        <v>19.59862923</v>
      </c>
      <c r="AK90" t="str">
        <f t="shared" si="14"/>
        <v>11.94775823</v>
      </c>
      <c r="AL90" t="str">
        <f t="shared" si="14"/>
        <v>287.6943736</v>
      </c>
      <c r="AM90" t="str">
        <f t="shared" si="14"/>
        <v>2890.258214</v>
      </c>
      <c r="AN90" t="str">
        <f t="shared" si="14"/>
        <v>575.3363512</v>
      </c>
      <c r="AO90" t="str">
        <f t="shared" si="14"/>
        <v>13.81155064</v>
      </c>
      <c r="AP90" t="str">
        <f t="shared" si="14"/>
        <v>287.8321396</v>
      </c>
      <c r="AQ90" t="str">
        <f t="shared" si="14"/>
        <v>13.76766105</v>
      </c>
      <c r="AR90" t="str">
        <f t="shared" si="14"/>
        <v>261.7352056</v>
      </c>
      <c r="AS90" t="str">
        <f t="shared" si="14"/>
        <v>0.771514544</v>
      </c>
      <c r="AT90" t="str">
        <f t="shared" si="14"/>
        <v>0.946328987</v>
      </c>
      <c r="AU90" t="str">
        <f t="shared" si="14"/>
        <v>0.224367512</v>
      </c>
      <c r="AV90" t="str">
        <f t="shared" si="14"/>
        <v>2.10551655</v>
      </c>
      <c r="AW90" t="str">
        <f t="shared" si="14"/>
        <v>0.982893955</v>
      </c>
      <c r="AX90" t="str">
        <f t="shared" si="14"/>
        <v>1.280772508</v>
      </c>
      <c r="AY90" t="str">
        <f t="shared" ref="AY90:BJ105" si="15">IF(MID(V90,2,1)=",",_xlfn.TEXTJOIN(".",FALSE,MID(V90,1,1),MID(V90,3,LEN(V90)-2)),IF(MID(V90,3,1)=",",_xlfn.TEXTJOIN(".",FALSE,MID(V90,1,2),MID(V90,4,LEN(V90)-3)),IF(MID(V90,4,1)=",",_xlfn.TEXTJOIN(".",FALSE,MID(V90,1,3),MID(V90,5,LEN(V90)-4)),IF(MID(V90,5,1)=",",_xlfn.TEXTJOIN(".",FALSE,MID(V90,1,4),MID(V90,6,LEN(V90)-5)),V90))))</f>
        <v>20.90471414</v>
      </c>
      <c r="AZ90" t="str">
        <f t="shared" si="15"/>
        <v>24.04012036</v>
      </c>
      <c r="BA90" t="str">
        <f t="shared" si="15"/>
        <v>3.967903711</v>
      </c>
      <c r="BB90" t="str">
        <f t="shared" si="15"/>
        <v>19.90872618</v>
      </c>
      <c r="BC90" t="str">
        <f t="shared" si="15"/>
        <v>26.04012036</v>
      </c>
      <c r="BD90" t="str">
        <f t="shared" si="15"/>
        <v>0.755265797</v>
      </c>
      <c r="BE90" t="str">
        <f t="shared" si="15"/>
        <v>4.074222668</v>
      </c>
      <c r="BF90" t="str">
        <f t="shared" si="15"/>
        <v>1.953610832</v>
      </c>
      <c r="BG90" t="str">
        <f t="shared" si="15"/>
        <v>0.394062435</v>
      </c>
      <c r="BH90" t="str">
        <f t="shared" si="15"/>
        <v>0.977696133</v>
      </c>
      <c r="BI90" t="str">
        <f t="shared" si="15"/>
        <v>70.53261658</v>
      </c>
      <c r="BJ90" t="str">
        <f t="shared" si="15"/>
        <v>-1.451733833</v>
      </c>
    </row>
    <row r="91" spans="1:62" x14ac:dyDescent="0.25">
      <c r="A91" s="3" t="s">
        <v>192</v>
      </c>
      <c r="B91" t="s">
        <v>492</v>
      </c>
      <c r="C91" t="s">
        <v>18</v>
      </c>
      <c r="D91" t="s">
        <v>330</v>
      </c>
      <c r="E91">
        <v>90</v>
      </c>
      <c r="F91">
        <v>7.6394696040000003</v>
      </c>
      <c r="G91">
        <v>19.593002630000001</v>
      </c>
      <c r="H91">
        <v>11.953533029999999</v>
      </c>
      <c r="I91">
        <v>287.67364889999999</v>
      </c>
      <c r="J91">
        <v>2891.5929550000001</v>
      </c>
      <c r="K91">
        <v>575.56638139999995</v>
      </c>
      <c r="L91">
        <v>13.81201993</v>
      </c>
      <c r="M91">
        <v>287.82914799999998</v>
      </c>
      <c r="N91">
        <v>13.786846199999999</v>
      </c>
      <c r="O91">
        <v>262.56242730000002</v>
      </c>
      <c r="P91">
        <v>0.77495227899999997</v>
      </c>
      <c r="Q91">
        <v>0.94577309399999998</v>
      </c>
      <c r="R91">
        <v>0.22285734099999999</v>
      </c>
      <c r="S91">
        <v>2.109680591</v>
      </c>
      <c r="T91">
        <v>0.98189043600000003</v>
      </c>
      <c r="U91">
        <v>1.2846191259999999</v>
      </c>
      <c r="V91">
        <v>20.90394955</v>
      </c>
      <c r="W91">
        <v>24.0390607</v>
      </c>
      <c r="X91">
        <v>3.9636882010000001</v>
      </c>
      <c r="Y91">
        <v>19.910086</v>
      </c>
      <c r="Z91">
        <v>26.0390607</v>
      </c>
      <c r="AA91">
        <v>0.75825636600000001</v>
      </c>
      <c r="AB91">
        <v>4.0555018120000002</v>
      </c>
      <c r="AC91">
        <v>1.9619667110000001</v>
      </c>
      <c r="AD91">
        <v>0.39463716199999999</v>
      </c>
      <c r="AE91">
        <v>0.97912572200000003</v>
      </c>
      <c r="AF91">
        <v>70.417799250000002</v>
      </c>
      <c r="AG91">
        <v>-1.6099464830000001</v>
      </c>
      <c r="AI91" t="str">
        <f t="shared" si="12"/>
        <v>7.639469604</v>
      </c>
      <c r="AJ91" t="str">
        <f t="shared" ref="AJ91:AX106" si="16">IF(MID(G91,2,1)=",",_xlfn.TEXTJOIN(".",FALSE,MID(G91,1,1),MID(G91,3,LEN(G91)-2)),IF(MID(G91,3,1)=",",_xlfn.TEXTJOIN(".",FALSE,MID(G91,1,2),MID(G91,4,LEN(G91)-3)),IF(MID(G91,4,1)=",",_xlfn.TEXTJOIN(".",FALSE,MID(G91,1,3),MID(G91,5,LEN(G91)-4)),IF(MID(G91,5,1)=",",_xlfn.TEXTJOIN(".",FALSE,MID(G91,1,4),MID(G91,6,LEN(G91)-5)),G91))))</f>
        <v>19.59300263</v>
      </c>
      <c r="AK91" t="str">
        <f t="shared" si="16"/>
        <v>11.95353303</v>
      </c>
      <c r="AL91" t="str">
        <f t="shared" si="16"/>
        <v>287.6736489</v>
      </c>
      <c r="AM91" t="str">
        <f t="shared" si="16"/>
        <v>2891.592955</v>
      </c>
      <c r="AN91" t="str">
        <f t="shared" si="16"/>
        <v>575.5663814</v>
      </c>
      <c r="AO91" t="str">
        <f t="shared" si="16"/>
        <v>13.81201993</v>
      </c>
      <c r="AP91" t="str">
        <f t="shared" si="16"/>
        <v>287.829148</v>
      </c>
      <c r="AQ91" t="str">
        <f t="shared" si="16"/>
        <v>13.7868462</v>
      </c>
      <c r="AR91" t="str">
        <f t="shared" si="16"/>
        <v>262.5624273</v>
      </c>
      <c r="AS91" t="str">
        <f t="shared" si="16"/>
        <v>0.774952279</v>
      </c>
      <c r="AT91" t="str">
        <f t="shared" si="16"/>
        <v>0.945773094</v>
      </c>
      <c r="AU91" t="str">
        <f t="shared" si="16"/>
        <v>0.222857341</v>
      </c>
      <c r="AV91" t="str">
        <f t="shared" si="16"/>
        <v>2.109680591</v>
      </c>
      <c r="AW91" t="str">
        <f t="shared" si="16"/>
        <v>0.981890436</v>
      </c>
      <c r="AX91" t="str">
        <f t="shared" si="16"/>
        <v>1.284619126</v>
      </c>
      <c r="AY91" t="str">
        <f t="shared" si="15"/>
        <v>20.90394955</v>
      </c>
      <c r="AZ91" t="str">
        <f t="shared" si="15"/>
        <v>24.0390607</v>
      </c>
      <c r="BA91" t="str">
        <f t="shared" si="15"/>
        <v>3.963688201</v>
      </c>
      <c r="BB91" t="str">
        <f t="shared" si="15"/>
        <v>19.910086</v>
      </c>
      <c r="BC91" t="str">
        <f t="shared" si="15"/>
        <v>26.0390607</v>
      </c>
      <c r="BD91" t="str">
        <f t="shared" si="15"/>
        <v>0.758256366</v>
      </c>
      <c r="BE91" t="str">
        <f t="shared" si="15"/>
        <v>4.055501812</v>
      </c>
      <c r="BF91" t="str">
        <f t="shared" si="15"/>
        <v>1.961966711</v>
      </c>
      <c r="BG91" t="str">
        <f t="shared" si="15"/>
        <v>0.394637162</v>
      </c>
      <c r="BH91" t="str">
        <f t="shared" si="15"/>
        <v>0.979125722</v>
      </c>
      <c r="BI91" t="str">
        <f t="shared" si="15"/>
        <v>70.41779925</v>
      </c>
      <c r="BJ91" t="str">
        <f t="shared" si="15"/>
        <v>-1.609946483</v>
      </c>
    </row>
    <row r="92" spans="1:62" x14ac:dyDescent="0.25">
      <c r="A92" s="3" t="s">
        <v>555</v>
      </c>
      <c r="B92" t="s">
        <v>493</v>
      </c>
      <c r="C92" t="s">
        <v>18</v>
      </c>
      <c r="D92" t="s">
        <v>319</v>
      </c>
      <c r="E92">
        <v>91</v>
      </c>
      <c r="F92">
        <v>7.7697728670000004</v>
      </c>
      <c r="G92">
        <v>19.710455799999998</v>
      </c>
      <c r="H92">
        <v>11.940682929999999</v>
      </c>
      <c r="I92">
        <v>289.81669920000002</v>
      </c>
      <c r="J92">
        <v>2899.0972280000001</v>
      </c>
      <c r="K92">
        <v>582.00336789999994</v>
      </c>
      <c r="L92">
        <v>13.84126217</v>
      </c>
      <c r="M92">
        <v>289.81669920000002</v>
      </c>
      <c r="N92">
        <v>13.769914030000001</v>
      </c>
      <c r="O92">
        <v>262.38094150000001</v>
      </c>
      <c r="P92">
        <v>0.75571632200000005</v>
      </c>
      <c r="Q92">
        <v>0.94626383999999997</v>
      </c>
      <c r="R92">
        <v>0.18728339099999999</v>
      </c>
      <c r="S92">
        <v>2.1396828650000002</v>
      </c>
      <c r="T92">
        <v>0.98802419600000002</v>
      </c>
      <c r="U92">
        <v>1.3372351330000001</v>
      </c>
      <c r="V92">
        <v>20.966709130000002</v>
      </c>
      <c r="W92">
        <v>24.043467710000002</v>
      </c>
      <c r="X92">
        <v>3.985136652</v>
      </c>
      <c r="Y92">
        <v>19.9630388</v>
      </c>
      <c r="Z92">
        <v>26.038159369999999</v>
      </c>
      <c r="AA92">
        <v>0.76852610200000004</v>
      </c>
      <c r="AB92">
        <v>4.0069031150000001</v>
      </c>
      <c r="AC92">
        <v>1.991954075</v>
      </c>
      <c r="AD92">
        <v>0.40482835499999997</v>
      </c>
      <c r="AE92">
        <v>0.97826694300000006</v>
      </c>
      <c r="AF92">
        <v>70.431956920000005</v>
      </c>
      <c r="AG92">
        <v>0.33496184699999998</v>
      </c>
      <c r="AI92" t="str">
        <f t="shared" si="12"/>
        <v>7.769772867</v>
      </c>
      <c r="AJ92" t="str">
        <f t="shared" si="16"/>
        <v>19.7104558</v>
      </c>
      <c r="AK92" t="str">
        <f t="shared" si="16"/>
        <v>11.94068293</v>
      </c>
      <c r="AL92" t="str">
        <f t="shared" si="16"/>
        <v>289.8166992</v>
      </c>
      <c r="AM92" t="str">
        <f t="shared" si="16"/>
        <v>2899.097228</v>
      </c>
      <c r="AN92" t="str">
        <f t="shared" si="16"/>
        <v>582.0033679</v>
      </c>
      <c r="AO92" t="str">
        <f t="shared" si="16"/>
        <v>13.84126217</v>
      </c>
      <c r="AP92" t="str">
        <f t="shared" si="16"/>
        <v>289.8166992</v>
      </c>
      <c r="AQ92" t="str">
        <f t="shared" si="16"/>
        <v>13.76991403</v>
      </c>
      <c r="AR92" t="str">
        <f t="shared" si="16"/>
        <v>262.3809415</v>
      </c>
      <c r="AS92" t="str">
        <f t="shared" si="16"/>
        <v>0.755716322</v>
      </c>
      <c r="AT92" t="str">
        <f t="shared" si="16"/>
        <v>0.94626384</v>
      </c>
      <c r="AU92" t="str">
        <f t="shared" si="16"/>
        <v>0.187283391</v>
      </c>
      <c r="AV92" t="str">
        <f t="shared" si="16"/>
        <v>2.139682865</v>
      </c>
      <c r="AW92" t="str">
        <f t="shared" si="16"/>
        <v>0.988024196</v>
      </c>
      <c r="AX92" t="str">
        <f t="shared" si="16"/>
        <v>1.337235133</v>
      </c>
      <c r="AY92" t="str">
        <f t="shared" si="15"/>
        <v>20.96670913</v>
      </c>
      <c r="AZ92" t="str">
        <f t="shared" si="15"/>
        <v>24.04346771</v>
      </c>
      <c r="BA92" t="str">
        <f t="shared" si="15"/>
        <v>3.985136652</v>
      </c>
      <c r="BB92" t="str">
        <f t="shared" si="15"/>
        <v>19.9630388</v>
      </c>
      <c r="BC92" t="str">
        <f t="shared" si="15"/>
        <v>26.03815937</v>
      </c>
      <c r="BD92" t="str">
        <f t="shared" si="15"/>
        <v>0.768526102</v>
      </c>
      <c r="BE92" t="str">
        <f t="shared" si="15"/>
        <v>4.006903115</v>
      </c>
      <c r="BF92" t="str">
        <f t="shared" si="15"/>
        <v>1.991954075</v>
      </c>
      <c r="BG92" t="str">
        <f t="shared" si="15"/>
        <v>0.404828355</v>
      </c>
      <c r="BH92" t="str">
        <f t="shared" si="15"/>
        <v>0.978266943</v>
      </c>
      <c r="BI92" t="str">
        <f t="shared" si="15"/>
        <v>70.43195692</v>
      </c>
      <c r="BJ92" t="str">
        <f t="shared" si="15"/>
        <v>0.334961847</v>
      </c>
    </row>
    <row r="93" spans="1:62" x14ac:dyDescent="0.25">
      <c r="A93" s="3" t="s">
        <v>556</v>
      </c>
      <c r="B93" t="s">
        <v>494</v>
      </c>
      <c r="C93" t="s">
        <v>18</v>
      </c>
      <c r="D93" t="s">
        <v>320</v>
      </c>
      <c r="E93">
        <v>92</v>
      </c>
      <c r="F93">
        <v>7.7697728670000004</v>
      </c>
      <c r="G93">
        <v>19.710455799999998</v>
      </c>
      <c r="H93">
        <v>11.940682929999999</v>
      </c>
      <c r="I93">
        <v>289.81669920000002</v>
      </c>
      <c r="J93">
        <v>2899.0972280000001</v>
      </c>
      <c r="K93">
        <v>582.00336789999994</v>
      </c>
      <c r="L93">
        <v>13.84126217</v>
      </c>
      <c r="M93">
        <v>289.81669920000002</v>
      </c>
      <c r="N93">
        <v>13.769914030000001</v>
      </c>
      <c r="O93">
        <v>262.38094150000001</v>
      </c>
      <c r="P93">
        <v>0.75571632200000005</v>
      </c>
      <c r="Q93">
        <v>0.94626383999999997</v>
      </c>
      <c r="R93">
        <v>0.18728339099999999</v>
      </c>
      <c r="S93">
        <v>2.1396828650000002</v>
      </c>
      <c r="T93">
        <v>0.98802419600000002</v>
      </c>
      <c r="U93">
        <v>1.3372351330000001</v>
      </c>
      <c r="V93">
        <v>20.966709130000002</v>
      </c>
      <c r="W93">
        <v>24.043467710000002</v>
      </c>
      <c r="X93">
        <v>3.985136652</v>
      </c>
      <c r="Y93">
        <v>19.9630388</v>
      </c>
      <c r="Z93">
        <v>26.038159369999999</v>
      </c>
      <c r="AA93">
        <v>0.76852610200000004</v>
      </c>
      <c r="AB93">
        <v>4.0069031150000001</v>
      </c>
      <c r="AC93">
        <v>1.991954075</v>
      </c>
      <c r="AD93">
        <v>0.40482835499999997</v>
      </c>
      <c r="AE93">
        <v>0.97826694300000006</v>
      </c>
      <c r="AF93">
        <v>70.431956920000005</v>
      </c>
      <c r="AG93">
        <v>0.33496184699999998</v>
      </c>
      <c r="AI93" t="str">
        <f t="shared" si="12"/>
        <v>7.769772867</v>
      </c>
      <c r="AJ93" t="str">
        <f t="shared" si="16"/>
        <v>19.7104558</v>
      </c>
      <c r="AK93" t="str">
        <f t="shared" si="16"/>
        <v>11.94068293</v>
      </c>
      <c r="AL93" t="str">
        <f t="shared" si="16"/>
        <v>289.8166992</v>
      </c>
      <c r="AM93" t="str">
        <f t="shared" si="16"/>
        <v>2899.097228</v>
      </c>
      <c r="AN93" t="str">
        <f t="shared" si="16"/>
        <v>582.0033679</v>
      </c>
      <c r="AO93" t="str">
        <f t="shared" si="16"/>
        <v>13.84126217</v>
      </c>
      <c r="AP93" t="str">
        <f t="shared" si="16"/>
        <v>289.8166992</v>
      </c>
      <c r="AQ93" t="str">
        <f t="shared" si="16"/>
        <v>13.76991403</v>
      </c>
      <c r="AR93" t="str">
        <f t="shared" si="16"/>
        <v>262.3809415</v>
      </c>
      <c r="AS93" t="str">
        <f t="shared" si="16"/>
        <v>0.755716322</v>
      </c>
      <c r="AT93" t="str">
        <f t="shared" si="16"/>
        <v>0.94626384</v>
      </c>
      <c r="AU93" t="str">
        <f t="shared" si="16"/>
        <v>0.187283391</v>
      </c>
      <c r="AV93" t="str">
        <f t="shared" si="16"/>
        <v>2.139682865</v>
      </c>
      <c r="AW93" t="str">
        <f t="shared" si="16"/>
        <v>0.988024196</v>
      </c>
      <c r="AX93" t="str">
        <f t="shared" si="16"/>
        <v>1.337235133</v>
      </c>
      <c r="AY93" t="str">
        <f t="shared" si="15"/>
        <v>20.96670913</v>
      </c>
      <c r="AZ93" t="str">
        <f t="shared" si="15"/>
        <v>24.04346771</v>
      </c>
      <c r="BA93" t="str">
        <f t="shared" si="15"/>
        <v>3.985136652</v>
      </c>
      <c r="BB93" t="str">
        <f t="shared" si="15"/>
        <v>19.9630388</v>
      </c>
      <c r="BC93" t="str">
        <f t="shared" si="15"/>
        <v>26.03815937</v>
      </c>
      <c r="BD93" t="str">
        <f t="shared" si="15"/>
        <v>0.768526102</v>
      </c>
      <c r="BE93" t="str">
        <f t="shared" si="15"/>
        <v>4.006903115</v>
      </c>
      <c r="BF93" t="str">
        <f t="shared" si="15"/>
        <v>1.991954075</v>
      </c>
      <c r="BG93" t="str">
        <f t="shared" si="15"/>
        <v>0.404828355</v>
      </c>
      <c r="BH93" t="str">
        <f t="shared" si="15"/>
        <v>0.978266943</v>
      </c>
      <c r="BI93" t="str">
        <f t="shared" si="15"/>
        <v>70.43195692</v>
      </c>
      <c r="BJ93" t="str">
        <f t="shared" si="15"/>
        <v>0.334961847</v>
      </c>
    </row>
    <row r="94" spans="1:62" x14ac:dyDescent="0.25">
      <c r="A94" s="3" t="s">
        <v>557</v>
      </c>
      <c r="B94" t="s">
        <v>495</v>
      </c>
      <c r="C94" t="s">
        <v>18</v>
      </c>
      <c r="D94" t="s">
        <v>22</v>
      </c>
      <c r="E94">
        <v>93</v>
      </c>
      <c r="F94">
        <v>7.6394696040000003</v>
      </c>
      <c r="G94">
        <v>19.593002630000001</v>
      </c>
      <c r="H94">
        <v>11.953533029999999</v>
      </c>
      <c r="I94">
        <v>287.67364889999999</v>
      </c>
      <c r="J94">
        <v>2891.5929550000001</v>
      </c>
      <c r="K94">
        <v>575.56638139999995</v>
      </c>
      <c r="L94">
        <v>13.81201993</v>
      </c>
      <c r="M94">
        <v>287.82914799999998</v>
      </c>
      <c r="N94">
        <v>13.786846199999999</v>
      </c>
      <c r="O94">
        <v>262.56242730000002</v>
      </c>
      <c r="P94">
        <v>0.77495227899999997</v>
      </c>
      <c r="Q94">
        <v>0.94577309399999998</v>
      </c>
      <c r="R94">
        <v>0.22285734099999999</v>
      </c>
      <c r="S94">
        <v>2.109680591</v>
      </c>
      <c r="T94">
        <v>0.98189043600000003</v>
      </c>
      <c r="U94">
        <v>1.2846191259999999</v>
      </c>
      <c r="V94">
        <v>20.90394955</v>
      </c>
      <c r="W94">
        <v>24.0390607</v>
      </c>
      <c r="X94">
        <v>3.9636882010000001</v>
      </c>
      <c r="Y94">
        <v>19.910086</v>
      </c>
      <c r="Z94">
        <v>26.0390607</v>
      </c>
      <c r="AA94">
        <v>0.75825636600000001</v>
      </c>
      <c r="AB94">
        <v>4.0555018120000002</v>
      </c>
      <c r="AC94">
        <v>1.9619667110000001</v>
      </c>
      <c r="AD94">
        <v>0.39463716199999999</v>
      </c>
      <c r="AE94">
        <v>0.97912572200000003</v>
      </c>
      <c r="AF94">
        <v>70.417799250000002</v>
      </c>
      <c r="AG94">
        <v>-1.6099464830000001</v>
      </c>
      <c r="AI94" t="str">
        <f t="shared" si="12"/>
        <v>7.639469604</v>
      </c>
      <c r="AJ94" t="str">
        <f t="shared" si="16"/>
        <v>19.59300263</v>
      </c>
      <c r="AK94" t="str">
        <f t="shared" si="16"/>
        <v>11.95353303</v>
      </c>
      <c r="AL94" t="str">
        <f t="shared" si="16"/>
        <v>287.6736489</v>
      </c>
      <c r="AM94" t="str">
        <f t="shared" si="16"/>
        <v>2891.592955</v>
      </c>
      <c r="AN94" t="str">
        <f t="shared" si="16"/>
        <v>575.5663814</v>
      </c>
      <c r="AO94" t="str">
        <f t="shared" si="16"/>
        <v>13.81201993</v>
      </c>
      <c r="AP94" t="str">
        <f t="shared" si="16"/>
        <v>287.829148</v>
      </c>
      <c r="AQ94" t="str">
        <f t="shared" si="16"/>
        <v>13.7868462</v>
      </c>
      <c r="AR94" t="str">
        <f t="shared" si="16"/>
        <v>262.5624273</v>
      </c>
      <c r="AS94" t="str">
        <f t="shared" si="16"/>
        <v>0.774952279</v>
      </c>
      <c r="AT94" t="str">
        <f t="shared" si="16"/>
        <v>0.945773094</v>
      </c>
      <c r="AU94" t="str">
        <f t="shared" si="16"/>
        <v>0.222857341</v>
      </c>
      <c r="AV94" t="str">
        <f t="shared" si="16"/>
        <v>2.109680591</v>
      </c>
      <c r="AW94" t="str">
        <f t="shared" si="16"/>
        <v>0.981890436</v>
      </c>
      <c r="AX94" t="str">
        <f t="shared" si="16"/>
        <v>1.284619126</v>
      </c>
      <c r="AY94" t="str">
        <f t="shared" si="15"/>
        <v>20.90394955</v>
      </c>
      <c r="AZ94" t="str">
        <f t="shared" si="15"/>
        <v>24.0390607</v>
      </c>
      <c r="BA94" t="str">
        <f t="shared" si="15"/>
        <v>3.963688201</v>
      </c>
      <c r="BB94" t="str">
        <f t="shared" si="15"/>
        <v>19.910086</v>
      </c>
      <c r="BC94" t="str">
        <f t="shared" si="15"/>
        <v>26.0390607</v>
      </c>
      <c r="BD94" t="str">
        <f t="shared" si="15"/>
        <v>0.758256366</v>
      </c>
      <c r="BE94" t="str">
        <f t="shared" si="15"/>
        <v>4.055501812</v>
      </c>
      <c r="BF94" t="str">
        <f t="shared" si="15"/>
        <v>1.961966711</v>
      </c>
      <c r="BG94" t="str">
        <f t="shared" si="15"/>
        <v>0.394637162</v>
      </c>
      <c r="BH94" t="str">
        <f t="shared" si="15"/>
        <v>0.979125722</v>
      </c>
      <c r="BI94" t="str">
        <f t="shared" si="15"/>
        <v>70.41779925</v>
      </c>
      <c r="BJ94" t="str">
        <f t="shared" si="15"/>
        <v>-1.609946483</v>
      </c>
    </row>
    <row r="95" spans="1:62" x14ac:dyDescent="0.25">
      <c r="A95" s="3" t="s">
        <v>558</v>
      </c>
      <c r="B95" t="s">
        <v>496</v>
      </c>
      <c r="C95" t="s">
        <v>18</v>
      </c>
      <c r="D95" t="s">
        <v>23</v>
      </c>
      <c r="E95">
        <v>94</v>
      </c>
      <c r="F95">
        <v>8.3209264229999995</v>
      </c>
      <c r="G95">
        <v>19.021609260000002</v>
      </c>
      <c r="H95">
        <v>10.700682840000001</v>
      </c>
      <c r="I95">
        <v>252.44535550000001</v>
      </c>
      <c r="J95">
        <v>2289.3095520000002</v>
      </c>
      <c r="K95">
        <v>425.805498</v>
      </c>
      <c r="L95">
        <v>11.9894789</v>
      </c>
      <c r="M95">
        <v>252.44535550000001</v>
      </c>
      <c r="N95">
        <v>11.92327966</v>
      </c>
      <c r="O95">
        <v>283.55922149999998</v>
      </c>
      <c r="P95">
        <v>0.63753381899999995</v>
      </c>
      <c r="Q95">
        <v>0.964860053</v>
      </c>
      <c r="R95">
        <v>0.56343554900000004</v>
      </c>
      <c r="S95">
        <v>1.8617377209999999</v>
      </c>
      <c r="T95">
        <v>0.96337485899999997</v>
      </c>
      <c r="U95">
        <v>1.1762170110000001</v>
      </c>
      <c r="V95">
        <v>20.95665322</v>
      </c>
      <c r="W95">
        <v>24.012136649999999</v>
      </c>
      <c r="X95">
        <v>3.998979394</v>
      </c>
      <c r="Y95">
        <v>19.967134510000001</v>
      </c>
      <c r="Z95">
        <v>26.012136649999999</v>
      </c>
      <c r="AA95">
        <v>0.59068859100000004</v>
      </c>
      <c r="AB95">
        <v>11.035283570000001</v>
      </c>
      <c r="AC95">
        <v>1.992074849</v>
      </c>
      <c r="AD95">
        <v>0.27804668900000001</v>
      </c>
      <c r="AE95">
        <v>0.88481019400000005</v>
      </c>
      <c r="AF95">
        <v>71.331876750000006</v>
      </c>
      <c r="AG95">
        <v>6.0397130160000003</v>
      </c>
      <c r="AI95" t="str">
        <f t="shared" si="12"/>
        <v>8.320926423</v>
      </c>
      <c r="AJ95" t="str">
        <f t="shared" si="16"/>
        <v>19.02160926</v>
      </c>
      <c r="AK95" t="str">
        <f t="shared" si="16"/>
        <v>10.70068284</v>
      </c>
      <c r="AL95" t="str">
        <f t="shared" si="16"/>
        <v>252.4453555</v>
      </c>
      <c r="AM95" t="str">
        <f t="shared" si="16"/>
        <v>2289.309552</v>
      </c>
      <c r="AN95" t="str">
        <f t="shared" si="16"/>
        <v>425.805498</v>
      </c>
      <c r="AO95" t="str">
        <f t="shared" si="16"/>
        <v>11.9894789</v>
      </c>
      <c r="AP95" t="str">
        <f t="shared" si="16"/>
        <v>252.4453555</v>
      </c>
      <c r="AQ95" t="str">
        <f t="shared" si="16"/>
        <v>11.92327966</v>
      </c>
      <c r="AR95" t="str">
        <f t="shared" si="16"/>
        <v>283.5592215</v>
      </c>
      <c r="AS95" t="str">
        <f t="shared" si="16"/>
        <v>0.637533819</v>
      </c>
      <c r="AT95" t="str">
        <f t="shared" si="16"/>
        <v>0.964860053</v>
      </c>
      <c r="AU95" t="str">
        <f t="shared" si="16"/>
        <v>0.563435549</v>
      </c>
      <c r="AV95" t="str">
        <f t="shared" si="16"/>
        <v>1.861737721</v>
      </c>
      <c r="AW95" t="str">
        <f t="shared" si="16"/>
        <v>0.963374859</v>
      </c>
      <c r="AX95" t="str">
        <f t="shared" si="16"/>
        <v>1.176217011</v>
      </c>
      <c r="AY95" t="str">
        <f t="shared" si="15"/>
        <v>20.95665322</v>
      </c>
      <c r="AZ95" t="str">
        <f t="shared" si="15"/>
        <v>24.01213665</v>
      </c>
      <c r="BA95" t="str">
        <f t="shared" si="15"/>
        <v>3.998979394</v>
      </c>
      <c r="BB95" t="str">
        <f t="shared" si="15"/>
        <v>19.96713451</v>
      </c>
      <c r="BC95" t="str">
        <f t="shared" si="15"/>
        <v>26.01213665</v>
      </c>
      <c r="BD95" t="str">
        <f t="shared" si="15"/>
        <v>0.590688591</v>
      </c>
      <c r="BE95" t="str">
        <f t="shared" si="15"/>
        <v>11.03528357</v>
      </c>
      <c r="BF95" t="str">
        <f t="shared" si="15"/>
        <v>1.992074849</v>
      </c>
      <c r="BG95" t="str">
        <f t="shared" si="15"/>
        <v>0.278046689</v>
      </c>
      <c r="BH95" t="str">
        <f t="shared" si="15"/>
        <v>0.884810194</v>
      </c>
      <c r="BI95" t="str">
        <f t="shared" si="15"/>
        <v>71.33187675</v>
      </c>
      <c r="BJ95" t="str">
        <f t="shared" si="15"/>
        <v>6.039713016</v>
      </c>
    </row>
    <row r="96" spans="1:62" x14ac:dyDescent="0.25">
      <c r="A96" s="3" t="s">
        <v>559</v>
      </c>
      <c r="B96" t="s">
        <v>497</v>
      </c>
      <c r="C96" t="s">
        <v>18</v>
      </c>
      <c r="D96" t="s">
        <v>321</v>
      </c>
      <c r="E96">
        <v>95</v>
      </c>
      <c r="F96">
        <v>7.651064978</v>
      </c>
      <c r="G96">
        <v>19.123365490000001</v>
      </c>
      <c r="H96">
        <v>11.47230051</v>
      </c>
      <c r="I96">
        <v>274.8099277</v>
      </c>
      <c r="J96">
        <v>2714.237353</v>
      </c>
      <c r="K96">
        <v>458.55013889999998</v>
      </c>
      <c r="L96">
        <v>13.32732622</v>
      </c>
      <c r="M96">
        <v>274.8099277</v>
      </c>
      <c r="N96">
        <v>13.32732622</v>
      </c>
      <c r="O96">
        <v>299.54702350000002</v>
      </c>
      <c r="P96">
        <v>0.77908327499999996</v>
      </c>
      <c r="Q96">
        <v>0.94322003799999998</v>
      </c>
      <c r="R96">
        <v>0.25406238199999998</v>
      </c>
      <c r="S96">
        <v>1.8643242040000001</v>
      </c>
      <c r="T96">
        <v>0.98469225000000005</v>
      </c>
      <c r="U96">
        <v>1.2943108400000001</v>
      </c>
      <c r="V96">
        <v>20.817637999999999</v>
      </c>
      <c r="W96">
        <v>24.150556030000001</v>
      </c>
      <c r="X96">
        <v>3.668239668</v>
      </c>
      <c r="Y96">
        <v>19.732868880000002</v>
      </c>
      <c r="Z96">
        <v>26.150556030000001</v>
      </c>
      <c r="AA96">
        <v>0.71934252499999995</v>
      </c>
      <c r="AB96">
        <v>7.9801995750000003</v>
      </c>
      <c r="AC96">
        <v>1.8019634259999999</v>
      </c>
      <c r="AD96">
        <v>0.35053175800000003</v>
      </c>
      <c r="AE96">
        <v>0.93614532900000003</v>
      </c>
      <c r="AF96">
        <v>72.351682449999998</v>
      </c>
      <c r="AG96">
        <v>15.99545737</v>
      </c>
      <c r="AI96" t="str">
        <f t="shared" si="12"/>
        <v>7.651064978</v>
      </c>
      <c r="AJ96" t="str">
        <f t="shared" si="16"/>
        <v>19.12336549</v>
      </c>
      <c r="AK96" t="str">
        <f t="shared" si="16"/>
        <v>11.47230051</v>
      </c>
      <c r="AL96" t="str">
        <f t="shared" si="16"/>
        <v>274.8099277</v>
      </c>
      <c r="AM96" t="str">
        <f t="shared" si="16"/>
        <v>2714.237353</v>
      </c>
      <c r="AN96" t="str">
        <f t="shared" si="16"/>
        <v>458.5501389</v>
      </c>
      <c r="AO96" t="str">
        <f t="shared" si="16"/>
        <v>13.32732622</v>
      </c>
      <c r="AP96" t="str">
        <f t="shared" si="16"/>
        <v>274.8099277</v>
      </c>
      <c r="AQ96" t="str">
        <f t="shared" si="16"/>
        <v>13.32732622</v>
      </c>
      <c r="AR96" t="str">
        <f t="shared" si="16"/>
        <v>299.5470235</v>
      </c>
      <c r="AS96" t="str">
        <f t="shared" si="16"/>
        <v>0.779083275</v>
      </c>
      <c r="AT96" t="str">
        <f t="shared" si="16"/>
        <v>0.943220038</v>
      </c>
      <c r="AU96" t="str">
        <f t="shared" si="16"/>
        <v>0.254062382</v>
      </c>
      <c r="AV96" t="str">
        <f t="shared" si="16"/>
        <v>1.864324204</v>
      </c>
      <c r="AW96" t="str">
        <f t="shared" si="16"/>
        <v>0.98469225</v>
      </c>
      <c r="AX96" t="str">
        <f t="shared" si="16"/>
        <v>1.29431084</v>
      </c>
      <c r="AY96" t="str">
        <f t="shared" si="15"/>
        <v>20.817638</v>
      </c>
      <c r="AZ96" t="str">
        <f t="shared" si="15"/>
        <v>24.15055603</v>
      </c>
      <c r="BA96" t="str">
        <f t="shared" si="15"/>
        <v>3.668239668</v>
      </c>
      <c r="BB96" t="str">
        <f t="shared" si="15"/>
        <v>19.73286888</v>
      </c>
      <c r="BC96" t="str">
        <f t="shared" si="15"/>
        <v>26.15055603</v>
      </c>
      <c r="BD96" t="str">
        <f t="shared" si="15"/>
        <v>0.719342525</v>
      </c>
      <c r="BE96" t="str">
        <f t="shared" si="15"/>
        <v>7.980199575</v>
      </c>
      <c r="BF96" t="str">
        <f t="shared" si="15"/>
        <v>1.801963426</v>
      </c>
      <c r="BG96" t="str">
        <f t="shared" si="15"/>
        <v>0.350531758</v>
      </c>
      <c r="BH96" t="str">
        <f t="shared" si="15"/>
        <v>0.936145329</v>
      </c>
      <c r="BI96" t="str">
        <f t="shared" si="15"/>
        <v>72.35168245</v>
      </c>
      <c r="BJ96" t="str">
        <f t="shared" si="15"/>
        <v>15.99545737</v>
      </c>
    </row>
    <row r="97" spans="1:62" x14ac:dyDescent="0.25">
      <c r="A97" s="3" t="s">
        <v>560</v>
      </c>
      <c r="B97" t="s">
        <v>498</v>
      </c>
      <c r="C97" t="s">
        <v>26</v>
      </c>
      <c r="D97" s="26"/>
      <c r="E97">
        <v>96</v>
      </c>
      <c r="F97">
        <v>3.9380766930000002</v>
      </c>
      <c r="G97">
        <v>21.066692150000002</v>
      </c>
      <c r="H97">
        <v>17.128615459999999</v>
      </c>
      <c r="I97">
        <v>308.09759889999998</v>
      </c>
      <c r="J97">
        <v>3410.840917</v>
      </c>
      <c r="K97">
        <v>2204.126303</v>
      </c>
      <c r="L97">
        <v>16.37837742</v>
      </c>
      <c r="M97">
        <v>308.09759889999998</v>
      </c>
      <c r="N97">
        <v>16.37837742</v>
      </c>
      <c r="O97">
        <v>281.8</v>
      </c>
      <c r="P97">
        <v>0.72919999999999996</v>
      </c>
      <c r="Q97">
        <v>0.96065999999999996</v>
      </c>
      <c r="R97">
        <v>0.54986644399999995</v>
      </c>
      <c r="S97">
        <v>1.4077</v>
      </c>
      <c r="T97">
        <v>0.75295974200000004</v>
      </c>
      <c r="U97">
        <v>1.164735396</v>
      </c>
      <c r="V97">
        <v>21</v>
      </c>
      <c r="W97">
        <v>24</v>
      </c>
      <c r="X97">
        <v>3.984</v>
      </c>
      <c r="Y97">
        <v>20</v>
      </c>
      <c r="Z97">
        <v>26</v>
      </c>
      <c r="AA97">
        <v>0.39100000000000001</v>
      </c>
      <c r="AB97">
        <v>3.4115000000000002</v>
      </c>
      <c r="AC97">
        <v>1.018</v>
      </c>
      <c r="AD97">
        <v>0.13713773700000001</v>
      </c>
      <c r="AE97">
        <v>0.94674829800000004</v>
      </c>
      <c r="AF97">
        <v>70.170760770000001</v>
      </c>
      <c r="AG97">
        <v>44.06362618</v>
      </c>
      <c r="AI97" t="str">
        <f t="shared" si="12"/>
        <v>3.938076693</v>
      </c>
      <c r="AJ97" t="str">
        <f t="shared" si="16"/>
        <v>21.06669215</v>
      </c>
      <c r="AK97" t="str">
        <f t="shared" si="16"/>
        <v>17.12861546</v>
      </c>
      <c r="AL97" t="str">
        <f t="shared" si="16"/>
        <v>308.0975989</v>
      </c>
      <c r="AM97" t="str">
        <f t="shared" si="16"/>
        <v>3410.840917</v>
      </c>
      <c r="AN97" t="str">
        <f t="shared" si="16"/>
        <v>2204.126303</v>
      </c>
      <c r="AO97" t="str">
        <f t="shared" si="16"/>
        <v>16.37837742</v>
      </c>
      <c r="AP97" t="str">
        <f t="shared" si="16"/>
        <v>308.0975989</v>
      </c>
      <c r="AQ97" t="str">
        <f t="shared" si="16"/>
        <v>16.37837742</v>
      </c>
      <c r="AR97" t="str">
        <f t="shared" si="16"/>
        <v>281.8</v>
      </c>
      <c r="AS97" t="str">
        <f t="shared" si="16"/>
        <v>0.7292</v>
      </c>
      <c r="AT97" t="str">
        <f t="shared" si="16"/>
        <v>0.96066</v>
      </c>
      <c r="AU97" t="str">
        <f t="shared" si="16"/>
        <v>0.549866444</v>
      </c>
      <c r="AV97" t="str">
        <f t="shared" si="16"/>
        <v>1.4077</v>
      </c>
      <c r="AW97" t="str">
        <f t="shared" si="16"/>
        <v>0.752959742</v>
      </c>
      <c r="AX97" t="str">
        <f t="shared" si="16"/>
        <v>1.164735396</v>
      </c>
      <c r="AY97">
        <f t="shared" si="15"/>
        <v>21</v>
      </c>
      <c r="AZ97">
        <f t="shared" si="15"/>
        <v>24</v>
      </c>
      <c r="BA97" t="str">
        <f t="shared" si="15"/>
        <v>3.984</v>
      </c>
      <c r="BB97">
        <f t="shared" si="15"/>
        <v>20</v>
      </c>
      <c r="BC97">
        <f t="shared" si="15"/>
        <v>26</v>
      </c>
      <c r="BD97" t="str">
        <f t="shared" si="15"/>
        <v>0.391</v>
      </c>
      <c r="BE97" t="str">
        <f t="shared" si="15"/>
        <v>3.4115</v>
      </c>
      <c r="BF97" t="str">
        <f t="shared" si="15"/>
        <v>1.018</v>
      </c>
      <c r="BG97" t="str">
        <f t="shared" si="15"/>
        <v>0.137137737</v>
      </c>
      <c r="BH97" t="str">
        <f t="shared" si="15"/>
        <v>0.946748298</v>
      </c>
      <c r="BI97" t="str">
        <f t="shared" si="15"/>
        <v>70.17076077</v>
      </c>
      <c r="BJ97" t="str">
        <f t="shared" si="15"/>
        <v>44.06362618</v>
      </c>
    </row>
    <row r="98" spans="1:62" x14ac:dyDescent="0.25">
      <c r="A98" s="3" t="s">
        <v>561</v>
      </c>
      <c r="B98" t="s">
        <v>499</v>
      </c>
      <c r="C98" t="s">
        <v>26</v>
      </c>
      <c r="D98" t="s">
        <v>322</v>
      </c>
      <c r="E98">
        <v>97</v>
      </c>
      <c r="F98">
        <v>3.9380766930000002</v>
      </c>
      <c r="G98">
        <v>21.066692150000002</v>
      </c>
      <c r="H98">
        <v>17.128615459999999</v>
      </c>
      <c r="I98">
        <v>308.09759889999998</v>
      </c>
      <c r="J98">
        <v>3410.840917</v>
      </c>
      <c r="K98">
        <v>2204.126303</v>
      </c>
      <c r="L98">
        <v>16.37837742</v>
      </c>
      <c r="M98">
        <v>308.09759889999998</v>
      </c>
      <c r="N98">
        <v>16.37837742</v>
      </c>
      <c r="O98">
        <v>281.8</v>
      </c>
      <c r="P98">
        <v>0.72919999999999996</v>
      </c>
      <c r="Q98">
        <v>0.96065999999999996</v>
      </c>
      <c r="R98">
        <v>0.54986644399999995</v>
      </c>
      <c r="S98">
        <v>1.4077</v>
      </c>
      <c r="T98">
        <v>0.75295974200000004</v>
      </c>
      <c r="U98">
        <v>1.164735396</v>
      </c>
      <c r="V98">
        <v>21</v>
      </c>
      <c r="W98">
        <v>24</v>
      </c>
      <c r="X98">
        <v>3.984</v>
      </c>
      <c r="Y98">
        <v>20</v>
      </c>
      <c r="Z98">
        <v>26</v>
      </c>
      <c r="AA98">
        <v>0.39100000000000001</v>
      </c>
      <c r="AB98">
        <v>3.4115000000000002</v>
      </c>
      <c r="AC98">
        <v>1.018</v>
      </c>
      <c r="AD98">
        <v>0.13713773700000001</v>
      </c>
      <c r="AE98">
        <v>0.94674829800000004</v>
      </c>
      <c r="AF98">
        <v>70.170760770000001</v>
      </c>
      <c r="AG98">
        <v>44.06362618</v>
      </c>
      <c r="AI98" t="str">
        <f t="shared" ref="AI98:AI108" si="17">IF(MID(F98,2,1)=",",_xlfn.TEXTJOIN(".",FALSE,MID(F98,1,1),MID(F98,3,LEN(F98)-2)),IF(MID(F98,3,1)=",",_xlfn.TEXTJOIN(".",FALSE,MID(F98,1,2),MID(F98,4,LEN(F98)-3)),IF(MID(F98,4,1)=",",_xlfn.TEXTJOIN(".",FALSE,MID(F98,1,3),MID(F98,5,LEN(F98)-4)),IF(MID(F98,5,1)=",",_xlfn.TEXTJOIN(".",FALSE,MID(F98,1,4),MID(F98,6,LEN(F98)-5)),F98))))</f>
        <v>3.938076693</v>
      </c>
      <c r="AJ98" t="str">
        <f t="shared" si="16"/>
        <v>21.06669215</v>
      </c>
      <c r="AK98" t="str">
        <f t="shared" si="16"/>
        <v>17.12861546</v>
      </c>
      <c r="AL98" t="str">
        <f t="shared" si="16"/>
        <v>308.0975989</v>
      </c>
      <c r="AM98" t="str">
        <f t="shared" si="16"/>
        <v>3410.840917</v>
      </c>
      <c r="AN98" t="str">
        <f t="shared" si="16"/>
        <v>2204.126303</v>
      </c>
      <c r="AO98" t="str">
        <f t="shared" si="16"/>
        <v>16.37837742</v>
      </c>
      <c r="AP98" t="str">
        <f t="shared" si="16"/>
        <v>308.0975989</v>
      </c>
      <c r="AQ98" t="str">
        <f t="shared" si="16"/>
        <v>16.37837742</v>
      </c>
      <c r="AR98" t="str">
        <f t="shared" si="16"/>
        <v>281.8</v>
      </c>
      <c r="AS98" t="str">
        <f t="shared" si="16"/>
        <v>0.7292</v>
      </c>
      <c r="AT98" t="str">
        <f t="shared" si="16"/>
        <v>0.96066</v>
      </c>
      <c r="AU98" t="str">
        <f t="shared" si="16"/>
        <v>0.549866444</v>
      </c>
      <c r="AV98" t="str">
        <f t="shared" si="16"/>
        <v>1.4077</v>
      </c>
      <c r="AW98" t="str">
        <f t="shared" si="16"/>
        <v>0.752959742</v>
      </c>
      <c r="AX98" t="str">
        <f t="shared" si="16"/>
        <v>1.164735396</v>
      </c>
      <c r="AY98">
        <f t="shared" si="15"/>
        <v>21</v>
      </c>
      <c r="AZ98">
        <f t="shared" si="15"/>
        <v>24</v>
      </c>
      <c r="BA98" t="str">
        <f t="shared" si="15"/>
        <v>3.984</v>
      </c>
      <c r="BB98">
        <f t="shared" si="15"/>
        <v>20</v>
      </c>
      <c r="BC98">
        <f t="shared" si="15"/>
        <v>26</v>
      </c>
      <c r="BD98" t="str">
        <f t="shared" si="15"/>
        <v>0.391</v>
      </c>
      <c r="BE98" t="str">
        <f t="shared" si="15"/>
        <v>3.4115</v>
      </c>
      <c r="BF98" t="str">
        <f t="shared" si="15"/>
        <v>1.018</v>
      </c>
      <c r="BG98" t="str">
        <f t="shared" si="15"/>
        <v>0.137137737</v>
      </c>
      <c r="BH98" t="str">
        <f t="shared" si="15"/>
        <v>0.946748298</v>
      </c>
      <c r="BI98" t="str">
        <f t="shared" si="15"/>
        <v>70.17076077</v>
      </c>
      <c r="BJ98" t="str">
        <f t="shared" si="15"/>
        <v>44.06362618</v>
      </c>
    </row>
    <row r="99" spans="1:62" x14ac:dyDescent="0.25">
      <c r="A99" s="3" t="s">
        <v>562</v>
      </c>
      <c r="B99" t="s">
        <v>500</v>
      </c>
      <c r="C99" t="s">
        <v>26</v>
      </c>
      <c r="D99" t="s">
        <v>323</v>
      </c>
      <c r="E99">
        <v>98</v>
      </c>
      <c r="F99">
        <v>2.190662197</v>
      </c>
      <c r="G99">
        <v>22.122289550000001</v>
      </c>
      <c r="H99">
        <v>19.931627349999999</v>
      </c>
      <c r="I99">
        <v>329.01054959999999</v>
      </c>
      <c r="J99">
        <v>3823.657952</v>
      </c>
      <c r="K99">
        <v>3055.5020760000002</v>
      </c>
      <c r="L99">
        <v>18.517041630000001</v>
      </c>
      <c r="M99">
        <v>329.01054959999999</v>
      </c>
      <c r="N99">
        <v>18.517041630000001</v>
      </c>
      <c r="O99">
        <v>291.7</v>
      </c>
      <c r="P99">
        <v>0.69079999999999997</v>
      </c>
      <c r="Q99">
        <v>0.97521999999999998</v>
      </c>
      <c r="R99">
        <v>0.60811636899999999</v>
      </c>
      <c r="S99">
        <v>1.3287</v>
      </c>
      <c r="T99">
        <v>0.64791198900000002</v>
      </c>
      <c r="U99">
        <v>1.1686344689999999</v>
      </c>
      <c r="V99">
        <v>21</v>
      </c>
      <c r="W99">
        <v>24</v>
      </c>
      <c r="X99">
        <v>4</v>
      </c>
      <c r="Y99">
        <v>20</v>
      </c>
      <c r="Z99">
        <v>26</v>
      </c>
      <c r="AA99">
        <v>7.1999999999999995E-2</v>
      </c>
      <c r="AB99">
        <v>1.26125</v>
      </c>
      <c r="AC99">
        <v>0.27500000000000002</v>
      </c>
      <c r="AD99">
        <v>2.0352436000000002E-2</v>
      </c>
      <c r="AE99">
        <v>0.98842289999999999</v>
      </c>
      <c r="AF99">
        <v>70</v>
      </c>
      <c r="AG99">
        <v>75.585511249999996</v>
      </c>
      <c r="AI99" t="str">
        <f t="shared" si="17"/>
        <v>2.190662197</v>
      </c>
      <c r="AJ99" t="str">
        <f t="shared" si="16"/>
        <v>22.12228955</v>
      </c>
      <c r="AK99" t="str">
        <f t="shared" si="16"/>
        <v>19.93162735</v>
      </c>
      <c r="AL99" t="str">
        <f t="shared" si="16"/>
        <v>329.0105496</v>
      </c>
      <c r="AM99" t="str">
        <f t="shared" si="16"/>
        <v>3823.657952</v>
      </c>
      <c r="AN99" t="str">
        <f t="shared" si="16"/>
        <v>3055.502076</v>
      </c>
      <c r="AO99" t="str">
        <f t="shared" si="16"/>
        <v>18.51704163</v>
      </c>
      <c r="AP99" t="str">
        <f t="shared" si="16"/>
        <v>329.0105496</v>
      </c>
      <c r="AQ99" t="str">
        <f t="shared" si="16"/>
        <v>18.51704163</v>
      </c>
      <c r="AR99" t="str">
        <f t="shared" si="16"/>
        <v>291.7</v>
      </c>
      <c r="AS99" t="str">
        <f t="shared" si="16"/>
        <v>0.6908</v>
      </c>
      <c r="AT99" t="str">
        <f t="shared" si="16"/>
        <v>0.97522</v>
      </c>
      <c r="AU99" t="str">
        <f t="shared" si="16"/>
        <v>0.608116369</v>
      </c>
      <c r="AV99" t="str">
        <f t="shared" si="16"/>
        <v>1.3287</v>
      </c>
      <c r="AW99" t="str">
        <f t="shared" si="16"/>
        <v>0.647911989</v>
      </c>
      <c r="AX99" t="str">
        <f t="shared" si="16"/>
        <v>1.168634469</v>
      </c>
      <c r="AY99">
        <f t="shared" si="15"/>
        <v>21</v>
      </c>
      <c r="AZ99">
        <f t="shared" si="15"/>
        <v>24</v>
      </c>
      <c r="BA99">
        <f t="shared" si="15"/>
        <v>4</v>
      </c>
      <c r="BB99">
        <f t="shared" si="15"/>
        <v>20</v>
      </c>
      <c r="BC99">
        <f t="shared" si="15"/>
        <v>26</v>
      </c>
      <c r="BD99" t="str">
        <f t="shared" si="15"/>
        <v>0.072</v>
      </c>
      <c r="BE99" t="str">
        <f t="shared" si="15"/>
        <v>1.26125</v>
      </c>
      <c r="BF99" t="str">
        <f t="shared" si="15"/>
        <v>0.275</v>
      </c>
      <c r="BG99" t="str">
        <f t="shared" si="15"/>
        <v>0.020352436</v>
      </c>
      <c r="BH99" t="str">
        <f t="shared" si="15"/>
        <v>0.9884229</v>
      </c>
      <c r="BI99">
        <f t="shared" si="15"/>
        <v>70</v>
      </c>
      <c r="BJ99" t="str">
        <f t="shared" si="15"/>
        <v>75.58551125</v>
      </c>
    </row>
    <row r="100" spans="1:62" x14ac:dyDescent="0.25">
      <c r="A100" s="3" t="s">
        <v>563</v>
      </c>
      <c r="B100" t="s">
        <v>501</v>
      </c>
      <c r="C100" t="s">
        <v>26</v>
      </c>
      <c r="D100" t="s">
        <v>324</v>
      </c>
      <c r="E100">
        <v>99</v>
      </c>
      <c r="F100">
        <v>3.9380766930000002</v>
      </c>
      <c r="G100">
        <v>21.066692150000002</v>
      </c>
      <c r="H100">
        <v>17.128615459999999</v>
      </c>
      <c r="I100">
        <v>308.09759889999998</v>
      </c>
      <c r="J100">
        <v>3410.840917</v>
      </c>
      <c r="K100">
        <v>2204.126303</v>
      </c>
      <c r="L100">
        <v>16.37837742</v>
      </c>
      <c r="M100">
        <v>308.09759889999998</v>
      </c>
      <c r="N100">
        <v>16.37837742</v>
      </c>
      <c r="O100">
        <v>281.8</v>
      </c>
      <c r="P100">
        <v>0.72919999999999996</v>
      </c>
      <c r="Q100">
        <v>0.96065999999999996</v>
      </c>
      <c r="R100">
        <v>0.54986644399999995</v>
      </c>
      <c r="S100">
        <v>1.4077</v>
      </c>
      <c r="T100">
        <v>0.75295974200000004</v>
      </c>
      <c r="U100">
        <v>1.164735396</v>
      </c>
      <c r="V100">
        <v>21</v>
      </c>
      <c r="W100">
        <v>24</v>
      </c>
      <c r="X100">
        <v>3.984</v>
      </c>
      <c r="Y100">
        <v>20</v>
      </c>
      <c r="Z100">
        <v>26</v>
      </c>
      <c r="AA100">
        <v>0.39100000000000001</v>
      </c>
      <c r="AB100">
        <v>3.4115000000000002</v>
      </c>
      <c r="AC100">
        <v>1.018</v>
      </c>
      <c r="AD100">
        <v>0.13713773700000001</v>
      </c>
      <c r="AE100">
        <v>0.94674829800000004</v>
      </c>
      <c r="AF100">
        <v>70.170760770000001</v>
      </c>
      <c r="AG100">
        <v>44.06362618</v>
      </c>
      <c r="AI100" t="str">
        <f t="shared" si="17"/>
        <v>3.938076693</v>
      </c>
      <c r="AJ100" t="str">
        <f t="shared" si="16"/>
        <v>21.06669215</v>
      </c>
      <c r="AK100" t="str">
        <f t="shared" si="16"/>
        <v>17.12861546</v>
      </c>
      <c r="AL100" t="str">
        <f t="shared" si="16"/>
        <v>308.0975989</v>
      </c>
      <c r="AM100" t="str">
        <f t="shared" si="16"/>
        <v>3410.840917</v>
      </c>
      <c r="AN100" t="str">
        <f t="shared" si="16"/>
        <v>2204.126303</v>
      </c>
      <c r="AO100" t="str">
        <f t="shared" si="16"/>
        <v>16.37837742</v>
      </c>
      <c r="AP100" t="str">
        <f t="shared" si="16"/>
        <v>308.0975989</v>
      </c>
      <c r="AQ100" t="str">
        <f t="shared" si="16"/>
        <v>16.37837742</v>
      </c>
      <c r="AR100" t="str">
        <f t="shared" si="16"/>
        <v>281.8</v>
      </c>
      <c r="AS100" t="str">
        <f t="shared" si="16"/>
        <v>0.7292</v>
      </c>
      <c r="AT100" t="str">
        <f t="shared" si="16"/>
        <v>0.96066</v>
      </c>
      <c r="AU100" t="str">
        <f t="shared" si="16"/>
        <v>0.549866444</v>
      </c>
      <c r="AV100" t="str">
        <f t="shared" si="16"/>
        <v>1.4077</v>
      </c>
      <c r="AW100" t="str">
        <f t="shared" si="16"/>
        <v>0.752959742</v>
      </c>
      <c r="AX100" t="str">
        <f t="shared" si="16"/>
        <v>1.164735396</v>
      </c>
      <c r="AY100">
        <f t="shared" si="15"/>
        <v>21</v>
      </c>
      <c r="AZ100">
        <f t="shared" si="15"/>
        <v>24</v>
      </c>
      <c r="BA100" t="str">
        <f t="shared" si="15"/>
        <v>3.984</v>
      </c>
      <c r="BB100">
        <f t="shared" si="15"/>
        <v>20</v>
      </c>
      <c r="BC100">
        <f t="shared" si="15"/>
        <v>26</v>
      </c>
      <c r="BD100" t="str">
        <f t="shared" si="15"/>
        <v>0.391</v>
      </c>
      <c r="BE100" t="str">
        <f t="shared" si="15"/>
        <v>3.4115</v>
      </c>
      <c r="BF100" t="str">
        <f t="shared" si="15"/>
        <v>1.018</v>
      </c>
      <c r="BG100" t="str">
        <f t="shared" si="15"/>
        <v>0.137137737</v>
      </c>
      <c r="BH100" t="str">
        <f t="shared" si="15"/>
        <v>0.946748298</v>
      </c>
      <c r="BI100" t="str">
        <f t="shared" si="15"/>
        <v>70.17076077</v>
      </c>
      <c r="BJ100" t="str">
        <f t="shared" si="15"/>
        <v>44.06362618</v>
      </c>
    </row>
    <row r="101" spans="1:62" x14ac:dyDescent="0.25">
      <c r="A101" s="3" t="s">
        <v>188</v>
      </c>
      <c r="B101" t="s">
        <v>502</v>
      </c>
      <c r="C101" t="s">
        <v>26</v>
      </c>
      <c r="D101" t="s">
        <v>27</v>
      </c>
      <c r="E101">
        <v>100</v>
      </c>
      <c r="F101">
        <v>3.9380766930000002</v>
      </c>
      <c r="G101">
        <v>21.066692150000002</v>
      </c>
      <c r="H101">
        <v>17.128615459999999</v>
      </c>
      <c r="I101">
        <v>308.09759889999998</v>
      </c>
      <c r="J101">
        <v>3410.840917</v>
      </c>
      <c r="K101">
        <v>2204.126303</v>
      </c>
      <c r="L101">
        <v>16.37837742</v>
      </c>
      <c r="M101">
        <v>308.09759889999998</v>
      </c>
      <c r="N101">
        <v>16.37837742</v>
      </c>
      <c r="O101">
        <v>281.8</v>
      </c>
      <c r="P101">
        <v>0.72919999999999996</v>
      </c>
      <c r="Q101">
        <v>0.96065999999999996</v>
      </c>
      <c r="R101">
        <v>0.54986644399999995</v>
      </c>
      <c r="S101">
        <v>1.4077</v>
      </c>
      <c r="T101">
        <v>0.75295974200000004</v>
      </c>
      <c r="U101">
        <v>1.164735396</v>
      </c>
      <c r="V101">
        <v>21</v>
      </c>
      <c r="W101">
        <v>24</v>
      </c>
      <c r="X101">
        <v>3.984</v>
      </c>
      <c r="Y101">
        <v>20</v>
      </c>
      <c r="Z101">
        <v>26</v>
      </c>
      <c r="AA101">
        <v>0.39100000000000001</v>
      </c>
      <c r="AB101">
        <v>3.4115000000000002</v>
      </c>
      <c r="AC101">
        <v>1.018</v>
      </c>
      <c r="AD101">
        <v>0.13713773700000001</v>
      </c>
      <c r="AE101">
        <v>0.94674829800000004</v>
      </c>
      <c r="AF101">
        <v>70.170760770000001</v>
      </c>
      <c r="AG101">
        <v>44.06362618</v>
      </c>
      <c r="AI101" t="str">
        <f t="shared" si="17"/>
        <v>3.938076693</v>
      </c>
      <c r="AJ101" t="str">
        <f t="shared" si="16"/>
        <v>21.06669215</v>
      </c>
      <c r="AK101" t="str">
        <f t="shared" si="16"/>
        <v>17.12861546</v>
      </c>
      <c r="AL101" t="str">
        <f t="shared" si="16"/>
        <v>308.0975989</v>
      </c>
      <c r="AM101" t="str">
        <f t="shared" si="16"/>
        <v>3410.840917</v>
      </c>
      <c r="AN101" t="str">
        <f t="shared" si="16"/>
        <v>2204.126303</v>
      </c>
      <c r="AO101" t="str">
        <f t="shared" si="16"/>
        <v>16.37837742</v>
      </c>
      <c r="AP101" t="str">
        <f t="shared" si="16"/>
        <v>308.0975989</v>
      </c>
      <c r="AQ101" t="str">
        <f t="shared" si="16"/>
        <v>16.37837742</v>
      </c>
      <c r="AR101" t="str">
        <f t="shared" si="16"/>
        <v>281.8</v>
      </c>
      <c r="AS101" t="str">
        <f t="shared" si="16"/>
        <v>0.7292</v>
      </c>
      <c r="AT101" t="str">
        <f t="shared" si="16"/>
        <v>0.96066</v>
      </c>
      <c r="AU101" t="str">
        <f t="shared" si="16"/>
        <v>0.549866444</v>
      </c>
      <c r="AV101" t="str">
        <f t="shared" si="16"/>
        <v>1.4077</v>
      </c>
      <c r="AW101" t="str">
        <f t="shared" si="16"/>
        <v>0.752959742</v>
      </c>
      <c r="AX101" t="str">
        <f t="shared" si="16"/>
        <v>1.164735396</v>
      </c>
      <c r="AY101">
        <f t="shared" si="15"/>
        <v>21</v>
      </c>
      <c r="AZ101">
        <f t="shared" si="15"/>
        <v>24</v>
      </c>
      <c r="BA101" t="str">
        <f t="shared" si="15"/>
        <v>3.984</v>
      </c>
      <c r="BB101">
        <f t="shared" si="15"/>
        <v>20</v>
      </c>
      <c r="BC101">
        <f t="shared" si="15"/>
        <v>26</v>
      </c>
      <c r="BD101" t="str">
        <f t="shared" si="15"/>
        <v>0.391</v>
      </c>
      <c r="BE101" t="str">
        <f t="shared" si="15"/>
        <v>3.4115</v>
      </c>
      <c r="BF101" t="str">
        <f t="shared" si="15"/>
        <v>1.018</v>
      </c>
      <c r="BG101" t="str">
        <f t="shared" si="15"/>
        <v>0.137137737</v>
      </c>
      <c r="BH101" t="str">
        <f t="shared" si="15"/>
        <v>0.946748298</v>
      </c>
      <c r="BI101" t="str">
        <f t="shared" si="15"/>
        <v>70.17076077</v>
      </c>
      <c r="BJ101" t="str">
        <f t="shared" si="15"/>
        <v>44.06362618</v>
      </c>
    </row>
    <row r="102" spans="1:62" x14ac:dyDescent="0.25">
      <c r="A102" s="3" t="s">
        <v>564</v>
      </c>
      <c r="B102" t="s">
        <v>503</v>
      </c>
      <c r="C102" t="s">
        <v>26</v>
      </c>
      <c r="D102" t="s">
        <v>28</v>
      </c>
      <c r="E102">
        <v>101</v>
      </c>
      <c r="F102">
        <v>3.9380766930000002</v>
      </c>
      <c r="G102">
        <v>21.066692150000002</v>
      </c>
      <c r="H102">
        <v>17.128615459999999</v>
      </c>
      <c r="I102">
        <v>308.09759889999998</v>
      </c>
      <c r="J102">
        <v>3410.840917</v>
      </c>
      <c r="K102">
        <v>2204.126303</v>
      </c>
      <c r="L102">
        <v>16.37837742</v>
      </c>
      <c r="M102">
        <v>308.09759889999998</v>
      </c>
      <c r="N102">
        <v>16.37837742</v>
      </c>
      <c r="O102">
        <v>281.8</v>
      </c>
      <c r="P102">
        <v>0.72919999999999996</v>
      </c>
      <c r="Q102">
        <v>0.96065999999999996</v>
      </c>
      <c r="R102">
        <v>0.54986644399999995</v>
      </c>
      <c r="S102">
        <v>1.4077</v>
      </c>
      <c r="T102">
        <v>0.75295974200000004</v>
      </c>
      <c r="U102">
        <v>1.164735396</v>
      </c>
      <c r="V102">
        <v>21</v>
      </c>
      <c r="W102">
        <v>24</v>
      </c>
      <c r="X102">
        <v>3.984</v>
      </c>
      <c r="Y102">
        <v>20</v>
      </c>
      <c r="Z102">
        <v>26</v>
      </c>
      <c r="AA102">
        <v>0.39100000000000001</v>
      </c>
      <c r="AB102">
        <v>3.4115000000000002</v>
      </c>
      <c r="AC102">
        <v>1.018</v>
      </c>
      <c r="AD102">
        <v>0.13713773700000001</v>
      </c>
      <c r="AE102">
        <v>0.94674829800000004</v>
      </c>
      <c r="AF102">
        <v>70.170760770000001</v>
      </c>
      <c r="AG102">
        <v>44.06362618</v>
      </c>
      <c r="AI102" t="str">
        <f t="shared" si="17"/>
        <v>3.938076693</v>
      </c>
      <c r="AJ102" t="str">
        <f t="shared" si="16"/>
        <v>21.06669215</v>
      </c>
      <c r="AK102" t="str">
        <f t="shared" si="16"/>
        <v>17.12861546</v>
      </c>
      <c r="AL102" t="str">
        <f t="shared" si="16"/>
        <v>308.0975989</v>
      </c>
      <c r="AM102" t="str">
        <f t="shared" si="16"/>
        <v>3410.840917</v>
      </c>
      <c r="AN102" t="str">
        <f t="shared" si="16"/>
        <v>2204.126303</v>
      </c>
      <c r="AO102" t="str">
        <f t="shared" si="16"/>
        <v>16.37837742</v>
      </c>
      <c r="AP102" t="str">
        <f t="shared" si="16"/>
        <v>308.0975989</v>
      </c>
      <c r="AQ102" t="str">
        <f t="shared" si="16"/>
        <v>16.37837742</v>
      </c>
      <c r="AR102" t="str">
        <f t="shared" si="16"/>
        <v>281.8</v>
      </c>
      <c r="AS102" t="str">
        <f t="shared" si="16"/>
        <v>0.7292</v>
      </c>
      <c r="AT102" t="str">
        <f t="shared" si="16"/>
        <v>0.96066</v>
      </c>
      <c r="AU102" t="str">
        <f t="shared" si="16"/>
        <v>0.549866444</v>
      </c>
      <c r="AV102" t="str">
        <f t="shared" si="16"/>
        <v>1.4077</v>
      </c>
      <c r="AW102" t="str">
        <f t="shared" si="16"/>
        <v>0.752959742</v>
      </c>
      <c r="AX102" t="str">
        <f t="shared" si="16"/>
        <v>1.164735396</v>
      </c>
      <c r="AY102">
        <f t="shared" si="15"/>
        <v>21</v>
      </c>
      <c r="AZ102">
        <f t="shared" si="15"/>
        <v>24</v>
      </c>
      <c r="BA102" t="str">
        <f t="shared" si="15"/>
        <v>3.984</v>
      </c>
      <c r="BB102">
        <f t="shared" si="15"/>
        <v>20</v>
      </c>
      <c r="BC102">
        <f t="shared" si="15"/>
        <v>26</v>
      </c>
      <c r="BD102" t="str">
        <f t="shared" si="15"/>
        <v>0.391</v>
      </c>
      <c r="BE102" t="str">
        <f t="shared" si="15"/>
        <v>3.4115</v>
      </c>
      <c r="BF102" t="str">
        <f t="shared" si="15"/>
        <v>1.018</v>
      </c>
      <c r="BG102" t="str">
        <f t="shared" si="15"/>
        <v>0.137137737</v>
      </c>
      <c r="BH102" t="str">
        <f t="shared" si="15"/>
        <v>0.946748298</v>
      </c>
      <c r="BI102" t="str">
        <f t="shared" si="15"/>
        <v>70.17076077</v>
      </c>
      <c r="BJ102" t="str">
        <f t="shared" si="15"/>
        <v>44.06362618</v>
      </c>
    </row>
    <row r="103" spans="1:62" x14ac:dyDescent="0.25">
      <c r="A103" s="3" t="s">
        <v>565</v>
      </c>
      <c r="B103" t="s">
        <v>504</v>
      </c>
      <c r="C103" t="s">
        <v>26</v>
      </c>
      <c r="D103" t="s">
        <v>29</v>
      </c>
      <c r="E103">
        <v>102</v>
      </c>
      <c r="F103">
        <v>3.9380766930000002</v>
      </c>
      <c r="G103">
        <v>21.066692150000002</v>
      </c>
      <c r="H103">
        <v>17.128615459999999</v>
      </c>
      <c r="I103">
        <v>308.09759889999998</v>
      </c>
      <c r="J103">
        <v>3410.840917</v>
      </c>
      <c r="K103">
        <v>2204.126303</v>
      </c>
      <c r="L103">
        <v>16.37837742</v>
      </c>
      <c r="M103">
        <v>308.09759889999998</v>
      </c>
      <c r="N103">
        <v>16.37837742</v>
      </c>
      <c r="O103">
        <v>281.8</v>
      </c>
      <c r="P103">
        <v>0.72919999999999996</v>
      </c>
      <c r="Q103">
        <v>0.96065999999999996</v>
      </c>
      <c r="R103">
        <v>0.54986644399999995</v>
      </c>
      <c r="S103">
        <v>1.4077</v>
      </c>
      <c r="T103">
        <v>0.75295974200000004</v>
      </c>
      <c r="U103">
        <v>1.164735396</v>
      </c>
      <c r="V103">
        <v>21</v>
      </c>
      <c r="W103">
        <v>24</v>
      </c>
      <c r="X103">
        <v>3.984</v>
      </c>
      <c r="Y103">
        <v>20</v>
      </c>
      <c r="Z103">
        <v>26</v>
      </c>
      <c r="AA103">
        <v>0.39100000000000001</v>
      </c>
      <c r="AB103">
        <v>3.4115000000000002</v>
      </c>
      <c r="AC103">
        <v>1.018</v>
      </c>
      <c r="AD103">
        <v>0.13713773700000001</v>
      </c>
      <c r="AE103">
        <v>0.94674829800000004</v>
      </c>
      <c r="AF103">
        <v>70.170760770000001</v>
      </c>
      <c r="AG103">
        <v>44.06362618</v>
      </c>
      <c r="AI103" t="str">
        <f t="shared" si="17"/>
        <v>3.938076693</v>
      </c>
      <c r="AJ103" t="str">
        <f t="shared" si="16"/>
        <v>21.06669215</v>
      </c>
      <c r="AK103" t="str">
        <f t="shared" si="16"/>
        <v>17.12861546</v>
      </c>
      <c r="AL103" t="str">
        <f t="shared" si="16"/>
        <v>308.0975989</v>
      </c>
      <c r="AM103" t="str">
        <f t="shared" si="16"/>
        <v>3410.840917</v>
      </c>
      <c r="AN103" t="str">
        <f t="shared" si="16"/>
        <v>2204.126303</v>
      </c>
      <c r="AO103" t="str">
        <f t="shared" si="16"/>
        <v>16.37837742</v>
      </c>
      <c r="AP103" t="str">
        <f t="shared" si="16"/>
        <v>308.0975989</v>
      </c>
      <c r="AQ103" t="str">
        <f t="shared" si="16"/>
        <v>16.37837742</v>
      </c>
      <c r="AR103" t="str">
        <f t="shared" si="16"/>
        <v>281.8</v>
      </c>
      <c r="AS103" t="str">
        <f t="shared" si="16"/>
        <v>0.7292</v>
      </c>
      <c r="AT103" t="str">
        <f t="shared" si="16"/>
        <v>0.96066</v>
      </c>
      <c r="AU103" t="str">
        <f t="shared" si="16"/>
        <v>0.549866444</v>
      </c>
      <c r="AV103" t="str">
        <f t="shared" si="16"/>
        <v>1.4077</v>
      </c>
      <c r="AW103" t="str">
        <f t="shared" si="16"/>
        <v>0.752959742</v>
      </c>
      <c r="AX103" t="str">
        <f t="shared" si="16"/>
        <v>1.164735396</v>
      </c>
      <c r="AY103">
        <f t="shared" si="15"/>
        <v>21</v>
      </c>
      <c r="AZ103">
        <f t="shared" si="15"/>
        <v>24</v>
      </c>
      <c r="BA103" t="str">
        <f t="shared" si="15"/>
        <v>3.984</v>
      </c>
      <c r="BB103">
        <f t="shared" si="15"/>
        <v>20</v>
      </c>
      <c r="BC103">
        <f t="shared" si="15"/>
        <v>26</v>
      </c>
      <c r="BD103" t="str">
        <f t="shared" si="15"/>
        <v>0.391</v>
      </c>
      <c r="BE103" t="str">
        <f t="shared" si="15"/>
        <v>3.4115</v>
      </c>
      <c r="BF103" t="str">
        <f t="shared" si="15"/>
        <v>1.018</v>
      </c>
      <c r="BG103" t="str">
        <f t="shared" si="15"/>
        <v>0.137137737</v>
      </c>
      <c r="BH103" t="str">
        <f t="shared" si="15"/>
        <v>0.946748298</v>
      </c>
      <c r="BI103" t="str">
        <f t="shared" si="15"/>
        <v>70.17076077</v>
      </c>
      <c r="BJ103" t="str">
        <f t="shared" si="15"/>
        <v>44.06362618</v>
      </c>
    </row>
    <row r="104" spans="1:62" x14ac:dyDescent="0.25">
      <c r="A104" s="3" t="s">
        <v>566</v>
      </c>
      <c r="B104" t="s">
        <v>505</v>
      </c>
      <c r="C104" t="s">
        <v>24</v>
      </c>
      <c r="D104" s="26"/>
      <c r="E104">
        <v>103</v>
      </c>
      <c r="F104">
        <v>7.5278449729999997</v>
      </c>
      <c r="G104">
        <v>19.122954190000002</v>
      </c>
      <c r="H104">
        <v>11.595109219999999</v>
      </c>
      <c r="I104">
        <v>268.65629560000002</v>
      </c>
      <c r="J104">
        <v>2593.0935340000001</v>
      </c>
      <c r="K104">
        <v>540.65848210000001</v>
      </c>
      <c r="L104">
        <v>13.659539130000001</v>
      </c>
      <c r="M104">
        <v>268.65629560000002</v>
      </c>
      <c r="N104">
        <v>13.659539130000001</v>
      </c>
      <c r="O104">
        <v>260.5</v>
      </c>
      <c r="P104">
        <v>0.77600000000000002</v>
      </c>
      <c r="Q104">
        <v>0.95035999999999998</v>
      </c>
      <c r="R104">
        <v>0.42078263700000001</v>
      </c>
      <c r="S104">
        <v>1.5685500000000001</v>
      </c>
      <c r="T104">
        <v>0.98063487500000002</v>
      </c>
      <c r="U104">
        <v>1.1478437610000001</v>
      </c>
      <c r="V104">
        <v>21</v>
      </c>
      <c r="W104">
        <v>24</v>
      </c>
      <c r="X104">
        <v>3.964</v>
      </c>
      <c r="Y104">
        <v>20</v>
      </c>
      <c r="Z104">
        <v>26</v>
      </c>
      <c r="AA104">
        <v>0.77600000000000002</v>
      </c>
      <c r="AB104">
        <v>6.2880500000000001</v>
      </c>
      <c r="AC104">
        <v>1.8967499999999999</v>
      </c>
      <c r="AD104">
        <v>0.38680051799999998</v>
      </c>
      <c r="AE104">
        <v>0.86870206400000005</v>
      </c>
      <c r="AF104">
        <v>70.452941289999998</v>
      </c>
      <c r="AG104">
        <v>2.573518033</v>
      </c>
      <c r="AI104" t="str">
        <f t="shared" si="17"/>
        <v>7.527844973</v>
      </c>
      <c r="AJ104" t="str">
        <f t="shared" si="16"/>
        <v>19.12295419</v>
      </c>
      <c r="AK104" t="str">
        <f t="shared" si="16"/>
        <v>11.59510922</v>
      </c>
      <c r="AL104" t="str">
        <f t="shared" si="16"/>
        <v>268.6562956</v>
      </c>
      <c r="AM104" t="str">
        <f t="shared" si="16"/>
        <v>2593.093534</v>
      </c>
      <c r="AN104" t="str">
        <f t="shared" si="16"/>
        <v>540.6584821</v>
      </c>
      <c r="AO104" t="str">
        <f t="shared" si="16"/>
        <v>13.65953913</v>
      </c>
      <c r="AP104" t="str">
        <f t="shared" si="16"/>
        <v>268.6562956</v>
      </c>
      <c r="AQ104" t="str">
        <f t="shared" si="16"/>
        <v>13.65953913</v>
      </c>
      <c r="AR104" t="str">
        <f t="shared" si="16"/>
        <v>260.5</v>
      </c>
      <c r="AS104" t="str">
        <f t="shared" si="16"/>
        <v>0.776</v>
      </c>
      <c r="AT104" t="str">
        <f t="shared" si="16"/>
        <v>0.95036</v>
      </c>
      <c r="AU104" t="str">
        <f t="shared" si="16"/>
        <v>0.420782637</v>
      </c>
      <c r="AV104" t="str">
        <f t="shared" si="16"/>
        <v>1.56855</v>
      </c>
      <c r="AW104" t="str">
        <f t="shared" si="16"/>
        <v>0.980634875</v>
      </c>
      <c r="AX104" t="str">
        <f t="shared" si="16"/>
        <v>1.147843761</v>
      </c>
      <c r="AY104">
        <f t="shared" si="15"/>
        <v>21</v>
      </c>
      <c r="AZ104">
        <f t="shared" si="15"/>
        <v>24</v>
      </c>
      <c r="BA104" t="str">
        <f t="shared" si="15"/>
        <v>3.964</v>
      </c>
      <c r="BB104">
        <f t="shared" si="15"/>
        <v>20</v>
      </c>
      <c r="BC104">
        <f t="shared" si="15"/>
        <v>26</v>
      </c>
      <c r="BD104" t="str">
        <f t="shared" si="15"/>
        <v>0.776</v>
      </c>
      <c r="BE104" t="str">
        <f t="shared" si="15"/>
        <v>6.28805</v>
      </c>
      <c r="BF104" t="str">
        <f t="shared" si="15"/>
        <v>1.89675</v>
      </c>
      <c r="BG104" t="str">
        <f t="shared" si="15"/>
        <v>0.386800518</v>
      </c>
      <c r="BH104" t="str">
        <f t="shared" si="15"/>
        <v>0.868702064</v>
      </c>
      <c r="BI104" t="str">
        <f t="shared" si="15"/>
        <v>70.45294129</v>
      </c>
      <c r="BJ104" t="str">
        <f t="shared" si="15"/>
        <v>2.573518033</v>
      </c>
    </row>
    <row r="105" spans="1:62" x14ac:dyDescent="0.25">
      <c r="A105" s="3" t="s">
        <v>567</v>
      </c>
      <c r="B105" t="s">
        <v>506</v>
      </c>
      <c r="C105" t="s">
        <v>24</v>
      </c>
      <c r="D105" t="s">
        <v>325</v>
      </c>
      <c r="E105">
        <v>104</v>
      </c>
      <c r="F105">
        <v>1.34990564</v>
      </c>
      <c r="G105">
        <v>22.803858529999999</v>
      </c>
      <c r="H105">
        <v>21.45395289</v>
      </c>
      <c r="I105">
        <v>342.81115219999998</v>
      </c>
      <c r="J105">
        <v>4035.9301540000001</v>
      </c>
      <c r="K105">
        <v>3557.480834</v>
      </c>
      <c r="L105">
        <v>20.038032730000001</v>
      </c>
      <c r="M105">
        <v>342.84963210000001</v>
      </c>
      <c r="N105">
        <v>20.038032730000001</v>
      </c>
      <c r="O105">
        <v>187.95731710000001</v>
      </c>
      <c r="P105">
        <v>0.33394308900000003</v>
      </c>
      <c r="Q105">
        <v>0.97849593499999998</v>
      </c>
      <c r="R105">
        <v>0.60901718900000001</v>
      </c>
      <c r="S105">
        <v>2.0328252029999998</v>
      </c>
      <c r="T105">
        <v>0.50447412999999997</v>
      </c>
      <c r="U105">
        <v>1.732190981</v>
      </c>
      <c r="V105">
        <v>15.62398374</v>
      </c>
      <c r="W105">
        <v>25.339430889999999</v>
      </c>
      <c r="X105">
        <v>1.756097561</v>
      </c>
      <c r="Y105">
        <v>15.214430889999999</v>
      </c>
      <c r="Z105">
        <v>27.337398369999999</v>
      </c>
      <c r="AA105">
        <v>0.12093495899999999</v>
      </c>
      <c r="AB105">
        <v>1.8838922760000001</v>
      </c>
      <c r="AC105">
        <v>0.39024390199999998</v>
      </c>
      <c r="AD105">
        <v>2.6872383999999999E-2</v>
      </c>
      <c r="AE105">
        <v>0.98747226899999996</v>
      </c>
      <c r="AF105">
        <v>72.151677199999995</v>
      </c>
      <c r="AG105">
        <v>2.7646734730000002</v>
      </c>
      <c r="AI105" t="str">
        <f t="shared" si="17"/>
        <v>1.34990564</v>
      </c>
      <c r="AJ105" t="str">
        <f t="shared" si="16"/>
        <v>22.80385853</v>
      </c>
      <c r="AK105" t="str">
        <f t="shared" si="16"/>
        <v>21.45395289</v>
      </c>
      <c r="AL105" t="str">
        <f t="shared" si="16"/>
        <v>342.8111522</v>
      </c>
      <c r="AM105" t="str">
        <f t="shared" si="16"/>
        <v>4035.930154</v>
      </c>
      <c r="AN105" t="str">
        <f t="shared" si="16"/>
        <v>3557.480834</v>
      </c>
      <c r="AO105" t="str">
        <f t="shared" si="16"/>
        <v>20.03803273</v>
      </c>
      <c r="AP105" t="str">
        <f t="shared" si="16"/>
        <v>342.8496321</v>
      </c>
      <c r="AQ105" t="str">
        <f t="shared" si="16"/>
        <v>20.03803273</v>
      </c>
      <c r="AR105" t="str">
        <f t="shared" si="16"/>
        <v>187.9573171</v>
      </c>
      <c r="AS105" t="str">
        <f t="shared" si="16"/>
        <v>0.333943089</v>
      </c>
      <c r="AT105" t="str">
        <f t="shared" si="16"/>
        <v>0.978495935</v>
      </c>
      <c r="AU105" t="str">
        <f t="shared" si="16"/>
        <v>0.609017189</v>
      </c>
      <c r="AV105" t="str">
        <f t="shared" si="16"/>
        <v>2.032825203</v>
      </c>
      <c r="AW105" t="str">
        <f t="shared" si="16"/>
        <v>0.50447413</v>
      </c>
      <c r="AX105" t="str">
        <f t="shared" si="16"/>
        <v>1.732190981</v>
      </c>
      <c r="AY105" t="str">
        <f t="shared" si="15"/>
        <v>15.62398374</v>
      </c>
      <c r="AZ105" t="str">
        <f t="shared" si="15"/>
        <v>25.33943089</v>
      </c>
      <c r="BA105" t="str">
        <f t="shared" si="15"/>
        <v>1.756097561</v>
      </c>
      <c r="BB105" t="str">
        <f t="shared" si="15"/>
        <v>15.21443089</v>
      </c>
      <c r="BC105" t="str">
        <f t="shared" si="15"/>
        <v>27.33739837</v>
      </c>
      <c r="BD105" t="str">
        <f t="shared" si="15"/>
        <v>0.120934959</v>
      </c>
      <c r="BE105" t="str">
        <f t="shared" si="15"/>
        <v>1.883892276</v>
      </c>
      <c r="BF105" t="str">
        <f t="shared" si="15"/>
        <v>0.390243902</v>
      </c>
      <c r="BG105" t="str">
        <f t="shared" si="15"/>
        <v>0.026872384</v>
      </c>
      <c r="BH105" t="str">
        <f t="shared" si="15"/>
        <v>0.987472269</v>
      </c>
      <c r="BI105" t="str">
        <f t="shared" si="15"/>
        <v>72.1516772</v>
      </c>
      <c r="BJ105" t="str">
        <f t="shared" si="15"/>
        <v>2.764673473</v>
      </c>
    </row>
    <row r="106" spans="1:62" x14ac:dyDescent="0.25">
      <c r="A106" s="3" t="s">
        <v>568</v>
      </c>
      <c r="B106" t="s">
        <v>507</v>
      </c>
      <c r="C106" t="s">
        <v>24</v>
      </c>
      <c r="D106" t="s">
        <v>326</v>
      </c>
      <c r="E106">
        <v>105</v>
      </c>
      <c r="F106">
        <v>1.34990564</v>
      </c>
      <c r="G106">
        <v>22.803858529999999</v>
      </c>
      <c r="H106">
        <v>21.45395289</v>
      </c>
      <c r="I106">
        <v>342.81115219999998</v>
      </c>
      <c r="J106">
        <v>4035.9301540000001</v>
      </c>
      <c r="K106">
        <v>3557.480834</v>
      </c>
      <c r="L106">
        <v>20.038032730000001</v>
      </c>
      <c r="M106">
        <v>342.84963210000001</v>
      </c>
      <c r="N106">
        <v>20.038032730000001</v>
      </c>
      <c r="O106">
        <v>187.95731710000001</v>
      </c>
      <c r="P106">
        <v>0.33394308900000003</v>
      </c>
      <c r="Q106">
        <v>0.97849593499999998</v>
      </c>
      <c r="R106">
        <v>0.60901718900000001</v>
      </c>
      <c r="S106">
        <v>2.0328252029999998</v>
      </c>
      <c r="T106">
        <v>0.50447412999999997</v>
      </c>
      <c r="U106">
        <v>1.732190981</v>
      </c>
      <c r="V106">
        <v>15.62398374</v>
      </c>
      <c r="W106">
        <v>25.339430889999999</v>
      </c>
      <c r="X106">
        <v>1.756097561</v>
      </c>
      <c r="Y106">
        <v>15.214430889999999</v>
      </c>
      <c r="Z106">
        <v>27.337398369999999</v>
      </c>
      <c r="AA106">
        <v>0.12093495899999999</v>
      </c>
      <c r="AB106">
        <v>1.8838922760000001</v>
      </c>
      <c r="AC106">
        <v>0.39024390199999998</v>
      </c>
      <c r="AD106">
        <v>2.6872383999999999E-2</v>
      </c>
      <c r="AE106">
        <v>0.98747226899999996</v>
      </c>
      <c r="AF106">
        <v>72.151677199999995</v>
      </c>
      <c r="AG106">
        <v>2.7646734730000002</v>
      </c>
      <c r="AI106" t="str">
        <f t="shared" si="17"/>
        <v>1.34990564</v>
      </c>
      <c r="AJ106" t="str">
        <f t="shared" si="16"/>
        <v>22.80385853</v>
      </c>
      <c r="AK106" t="str">
        <f t="shared" si="16"/>
        <v>21.45395289</v>
      </c>
      <c r="AL106" t="str">
        <f t="shared" si="16"/>
        <v>342.8111522</v>
      </c>
      <c r="AM106" t="str">
        <f t="shared" si="16"/>
        <v>4035.930154</v>
      </c>
      <c r="AN106" t="str">
        <f t="shared" si="16"/>
        <v>3557.480834</v>
      </c>
      <c r="AO106" t="str">
        <f t="shared" si="16"/>
        <v>20.03803273</v>
      </c>
      <c r="AP106" t="str">
        <f t="shared" si="16"/>
        <v>342.8496321</v>
      </c>
      <c r="AQ106" t="str">
        <f t="shared" si="16"/>
        <v>20.03803273</v>
      </c>
      <c r="AR106" t="str">
        <f t="shared" si="16"/>
        <v>187.9573171</v>
      </c>
      <c r="AS106" t="str">
        <f t="shared" si="16"/>
        <v>0.333943089</v>
      </c>
      <c r="AT106" t="str">
        <f t="shared" si="16"/>
        <v>0.978495935</v>
      </c>
      <c r="AU106" t="str">
        <f t="shared" si="16"/>
        <v>0.609017189</v>
      </c>
      <c r="AV106" t="str">
        <f t="shared" si="16"/>
        <v>2.032825203</v>
      </c>
      <c r="AW106" t="str">
        <f t="shared" si="16"/>
        <v>0.50447413</v>
      </c>
      <c r="AX106" t="str">
        <f t="shared" si="16"/>
        <v>1.732190981</v>
      </c>
      <c r="AY106" t="str">
        <f t="shared" ref="AY106:BJ109" si="18">IF(MID(V106,2,1)=",",_xlfn.TEXTJOIN(".",FALSE,MID(V106,1,1),MID(V106,3,LEN(V106)-2)),IF(MID(V106,3,1)=",",_xlfn.TEXTJOIN(".",FALSE,MID(V106,1,2),MID(V106,4,LEN(V106)-3)),IF(MID(V106,4,1)=",",_xlfn.TEXTJOIN(".",FALSE,MID(V106,1,3),MID(V106,5,LEN(V106)-4)),IF(MID(V106,5,1)=",",_xlfn.TEXTJOIN(".",FALSE,MID(V106,1,4),MID(V106,6,LEN(V106)-5)),V106))))</f>
        <v>15.62398374</v>
      </c>
      <c r="AZ106" t="str">
        <f t="shared" si="18"/>
        <v>25.33943089</v>
      </c>
      <c r="BA106" t="str">
        <f t="shared" si="18"/>
        <v>1.756097561</v>
      </c>
      <c r="BB106" t="str">
        <f t="shared" si="18"/>
        <v>15.21443089</v>
      </c>
      <c r="BC106" t="str">
        <f t="shared" si="18"/>
        <v>27.33739837</v>
      </c>
      <c r="BD106" t="str">
        <f t="shared" si="18"/>
        <v>0.120934959</v>
      </c>
      <c r="BE106" t="str">
        <f t="shared" si="18"/>
        <v>1.883892276</v>
      </c>
      <c r="BF106" t="str">
        <f t="shared" si="18"/>
        <v>0.390243902</v>
      </c>
      <c r="BG106" t="str">
        <f t="shared" si="18"/>
        <v>0.026872384</v>
      </c>
      <c r="BH106" t="str">
        <f t="shared" si="18"/>
        <v>0.987472269</v>
      </c>
      <c r="BI106" t="str">
        <f t="shared" si="18"/>
        <v>72.1516772</v>
      </c>
      <c r="BJ106" t="str">
        <f t="shared" si="18"/>
        <v>2.764673473</v>
      </c>
    </row>
    <row r="107" spans="1:62" x14ac:dyDescent="0.25">
      <c r="A107" s="3" t="s">
        <v>569</v>
      </c>
      <c r="B107" t="s">
        <v>508</v>
      </c>
      <c r="C107" t="s">
        <v>24</v>
      </c>
      <c r="D107" t="s">
        <v>327</v>
      </c>
      <c r="E107">
        <v>106</v>
      </c>
      <c r="F107">
        <v>3.9380766930000002</v>
      </c>
      <c r="G107">
        <v>21.066692150000002</v>
      </c>
      <c r="H107">
        <v>17.128615459999999</v>
      </c>
      <c r="I107">
        <v>308.09759889999998</v>
      </c>
      <c r="J107">
        <v>3410.840917</v>
      </c>
      <c r="K107">
        <v>2204.126303</v>
      </c>
      <c r="L107">
        <v>16.37837742</v>
      </c>
      <c r="M107">
        <v>308.09759889999998</v>
      </c>
      <c r="N107">
        <v>16.37837742</v>
      </c>
      <c r="O107">
        <v>281.8</v>
      </c>
      <c r="P107">
        <v>0.72919999999999996</v>
      </c>
      <c r="Q107">
        <v>0.96065999999999996</v>
      </c>
      <c r="R107">
        <v>0.54986644399999995</v>
      </c>
      <c r="S107">
        <v>1.4077</v>
      </c>
      <c r="T107">
        <v>0.75295974200000004</v>
      </c>
      <c r="U107">
        <v>1.164735396</v>
      </c>
      <c r="V107">
        <v>21</v>
      </c>
      <c r="W107">
        <v>24</v>
      </c>
      <c r="X107">
        <v>3.984</v>
      </c>
      <c r="Y107">
        <v>20</v>
      </c>
      <c r="Z107">
        <v>26</v>
      </c>
      <c r="AA107">
        <v>0.39100000000000001</v>
      </c>
      <c r="AB107">
        <v>3.4115000000000002</v>
      </c>
      <c r="AC107">
        <v>1.018</v>
      </c>
      <c r="AD107">
        <v>0.13713773700000001</v>
      </c>
      <c r="AE107">
        <v>0.94674829800000004</v>
      </c>
      <c r="AF107">
        <v>70.170760770000001</v>
      </c>
      <c r="AG107">
        <v>44.06362618</v>
      </c>
      <c r="AI107" t="str">
        <f t="shared" si="17"/>
        <v>3.938076693</v>
      </c>
      <c r="AJ107" t="str">
        <f t="shared" ref="AJ107:AX109" si="19">IF(MID(G107,2,1)=",",_xlfn.TEXTJOIN(".",FALSE,MID(G107,1,1),MID(G107,3,LEN(G107)-2)),IF(MID(G107,3,1)=",",_xlfn.TEXTJOIN(".",FALSE,MID(G107,1,2),MID(G107,4,LEN(G107)-3)),IF(MID(G107,4,1)=",",_xlfn.TEXTJOIN(".",FALSE,MID(G107,1,3),MID(G107,5,LEN(G107)-4)),IF(MID(G107,5,1)=",",_xlfn.TEXTJOIN(".",FALSE,MID(G107,1,4),MID(G107,6,LEN(G107)-5)),G107))))</f>
        <v>21.06669215</v>
      </c>
      <c r="AK107" t="str">
        <f t="shared" si="19"/>
        <v>17.12861546</v>
      </c>
      <c r="AL107" t="str">
        <f t="shared" si="19"/>
        <v>308.0975989</v>
      </c>
      <c r="AM107" t="str">
        <f t="shared" si="19"/>
        <v>3410.840917</v>
      </c>
      <c r="AN107" t="str">
        <f t="shared" si="19"/>
        <v>2204.126303</v>
      </c>
      <c r="AO107" t="str">
        <f t="shared" si="19"/>
        <v>16.37837742</v>
      </c>
      <c r="AP107" t="str">
        <f t="shared" si="19"/>
        <v>308.0975989</v>
      </c>
      <c r="AQ107" t="str">
        <f t="shared" si="19"/>
        <v>16.37837742</v>
      </c>
      <c r="AR107" t="str">
        <f t="shared" si="19"/>
        <v>281.8</v>
      </c>
      <c r="AS107" t="str">
        <f t="shared" si="19"/>
        <v>0.7292</v>
      </c>
      <c r="AT107" t="str">
        <f t="shared" si="19"/>
        <v>0.96066</v>
      </c>
      <c r="AU107" t="str">
        <f t="shared" si="19"/>
        <v>0.549866444</v>
      </c>
      <c r="AV107" t="str">
        <f t="shared" si="19"/>
        <v>1.4077</v>
      </c>
      <c r="AW107" t="str">
        <f t="shared" si="19"/>
        <v>0.752959742</v>
      </c>
      <c r="AX107" t="str">
        <f t="shared" si="19"/>
        <v>1.164735396</v>
      </c>
      <c r="AY107">
        <f t="shared" si="18"/>
        <v>21</v>
      </c>
      <c r="AZ107">
        <f t="shared" si="18"/>
        <v>24</v>
      </c>
      <c r="BA107" t="str">
        <f t="shared" si="18"/>
        <v>3.984</v>
      </c>
      <c r="BB107">
        <f t="shared" si="18"/>
        <v>20</v>
      </c>
      <c r="BC107">
        <f t="shared" si="18"/>
        <v>26</v>
      </c>
      <c r="BD107" t="str">
        <f t="shared" si="18"/>
        <v>0.391</v>
      </c>
      <c r="BE107" t="str">
        <f t="shared" si="18"/>
        <v>3.4115</v>
      </c>
      <c r="BF107" t="str">
        <f t="shared" si="18"/>
        <v>1.018</v>
      </c>
      <c r="BG107" t="str">
        <f t="shared" si="18"/>
        <v>0.137137737</v>
      </c>
      <c r="BH107" t="str">
        <f t="shared" si="18"/>
        <v>0.946748298</v>
      </c>
      <c r="BI107" t="str">
        <f t="shared" si="18"/>
        <v>70.17076077</v>
      </c>
      <c r="BJ107" t="str">
        <f t="shared" si="18"/>
        <v>44.06362618</v>
      </c>
    </row>
    <row r="108" spans="1:62" x14ac:dyDescent="0.25">
      <c r="A108" s="3" t="s">
        <v>570</v>
      </c>
      <c r="B108" t="s">
        <v>509</v>
      </c>
      <c r="C108" t="s">
        <v>24</v>
      </c>
      <c r="D108" t="s">
        <v>328</v>
      </c>
      <c r="E108">
        <v>107</v>
      </c>
      <c r="F108">
        <v>7.5278449729999997</v>
      </c>
      <c r="G108">
        <v>19.122954190000002</v>
      </c>
      <c r="H108">
        <v>11.595109219999999</v>
      </c>
      <c r="I108">
        <v>268.65629560000002</v>
      </c>
      <c r="J108">
        <v>2593.0935340000001</v>
      </c>
      <c r="K108">
        <v>540.65848210000001</v>
      </c>
      <c r="L108">
        <v>13.659539130000001</v>
      </c>
      <c r="M108">
        <v>268.65629560000002</v>
      </c>
      <c r="N108">
        <v>13.659539130000001</v>
      </c>
      <c r="O108">
        <v>260.5</v>
      </c>
      <c r="P108">
        <v>0.77600000000000002</v>
      </c>
      <c r="Q108">
        <v>0.95035999999999998</v>
      </c>
      <c r="R108">
        <v>0.42078263700000001</v>
      </c>
      <c r="S108">
        <v>1.5685500000000001</v>
      </c>
      <c r="T108">
        <v>0.98063487500000002</v>
      </c>
      <c r="U108">
        <v>1.1478437610000001</v>
      </c>
      <c r="V108">
        <v>21</v>
      </c>
      <c r="W108">
        <v>24</v>
      </c>
      <c r="X108">
        <v>3.964</v>
      </c>
      <c r="Y108">
        <v>20</v>
      </c>
      <c r="Z108">
        <v>26</v>
      </c>
      <c r="AA108">
        <v>0.77600000000000002</v>
      </c>
      <c r="AB108">
        <v>6.2880500000000001</v>
      </c>
      <c r="AC108">
        <v>1.8967499999999999</v>
      </c>
      <c r="AD108">
        <v>0.38680051799999998</v>
      </c>
      <c r="AE108">
        <v>0.86870206400000005</v>
      </c>
      <c r="AF108">
        <v>70.452941289999998</v>
      </c>
      <c r="AG108">
        <v>2.573518033</v>
      </c>
      <c r="AI108" t="str">
        <f t="shared" si="17"/>
        <v>7.527844973</v>
      </c>
      <c r="AJ108" t="str">
        <f t="shared" si="19"/>
        <v>19.12295419</v>
      </c>
      <c r="AK108" t="str">
        <f t="shared" si="19"/>
        <v>11.59510922</v>
      </c>
      <c r="AL108" t="str">
        <f t="shared" si="19"/>
        <v>268.6562956</v>
      </c>
      <c r="AM108" t="str">
        <f t="shared" si="19"/>
        <v>2593.093534</v>
      </c>
      <c r="AN108" t="str">
        <f t="shared" si="19"/>
        <v>540.6584821</v>
      </c>
      <c r="AO108" t="str">
        <f t="shared" si="19"/>
        <v>13.65953913</v>
      </c>
      <c r="AP108" t="str">
        <f t="shared" si="19"/>
        <v>268.6562956</v>
      </c>
      <c r="AQ108" t="str">
        <f t="shared" si="19"/>
        <v>13.65953913</v>
      </c>
      <c r="AR108" t="str">
        <f t="shared" si="19"/>
        <v>260.5</v>
      </c>
      <c r="AS108" t="str">
        <f t="shared" si="19"/>
        <v>0.776</v>
      </c>
      <c r="AT108" t="str">
        <f t="shared" si="19"/>
        <v>0.95036</v>
      </c>
      <c r="AU108" t="str">
        <f t="shared" si="19"/>
        <v>0.420782637</v>
      </c>
      <c r="AV108" t="str">
        <f t="shared" si="19"/>
        <v>1.56855</v>
      </c>
      <c r="AW108" t="str">
        <f t="shared" si="19"/>
        <v>0.980634875</v>
      </c>
      <c r="AX108" t="str">
        <f t="shared" si="19"/>
        <v>1.147843761</v>
      </c>
      <c r="AY108">
        <f t="shared" si="18"/>
        <v>21</v>
      </c>
      <c r="AZ108">
        <f t="shared" si="18"/>
        <v>24</v>
      </c>
      <c r="BA108" t="str">
        <f t="shared" si="18"/>
        <v>3.964</v>
      </c>
      <c r="BB108">
        <f t="shared" si="18"/>
        <v>20</v>
      </c>
      <c r="BC108">
        <f t="shared" si="18"/>
        <v>26</v>
      </c>
      <c r="BD108" t="str">
        <f t="shared" si="18"/>
        <v>0.776</v>
      </c>
      <c r="BE108" t="str">
        <f t="shared" si="18"/>
        <v>6.28805</v>
      </c>
      <c r="BF108" t="str">
        <f t="shared" si="18"/>
        <v>1.89675</v>
      </c>
      <c r="BG108" t="str">
        <f t="shared" si="18"/>
        <v>0.386800518</v>
      </c>
      <c r="BH108" t="str">
        <f t="shared" si="18"/>
        <v>0.868702064</v>
      </c>
      <c r="BI108" t="str">
        <f t="shared" si="18"/>
        <v>70.45294129</v>
      </c>
      <c r="BJ108" t="str">
        <f t="shared" si="18"/>
        <v>2.573518033</v>
      </c>
    </row>
    <row r="109" spans="1:62" x14ac:dyDescent="0.25">
      <c r="A109" s="3" t="s">
        <v>571</v>
      </c>
      <c r="B109" t="s">
        <v>510</v>
      </c>
      <c r="C109" t="s">
        <v>511</v>
      </c>
      <c r="D109" s="26"/>
      <c r="E109">
        <v>108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I109">
        <f>IF(MID(F109,2,1)=",",_xlfn.TEXTJOIN(".",FALSE,MID(F109,1,1),MID(F109,3,LEN(F109)-2)),IF(MID(F109,3,1)=",",_xlfn.TEXTJOIN(".",FALSE,MID(F109,1,2),MID(F109,4,LEN(F109)-3)),IF(MID(F109,4,1)=",",_xlfn.TEXTJOIN(".",FALSE,MID(F109,1,3),MID(F109,5,LEN(F109)-4)),IF(MID(F109,5,1)=",",_xlfn.TEXTJOIN(".",FALSE,MID(F109,1,4),MID(F109,6,LEN(F109)-5)),F109))))</f>
        <v>0</v>
      </c>
      <c r="AJ109">
        <f t="shared" si="19"/>
        <v>0</v>
      </c>
      <c r="AK109">
        <f t="shared" si="19"/>
        <v>0</v>
      </c>
      <c r="AL109">
        <f t="shared" si="19"/>
        <v>0</v>
      </c>
      <c r="AM109">
        <f t="shared" si="19"/>
        <v>0</v>
      </c>
      <c r="AN109">
        <f t="shared" si="19"/>
        <v>0</v>
      </c>
      <c r="AO109">
        <f t="shared" si="19"/>
        <v>0</v>
      </c>
      <c r="AP109">
        <f t="shared" si="19"/>
        <v>0</v>
      </c>
      <c r="AQ109">
        <f t="shared" si="19"/>
        <v>0</v>
      </c>
      <c r="AR109">
        <f t="shared" si="19"/>
        <v>0</v>
      </c>
      <c r="AS109">
        <f t="shared" si="19"/>
        <v>0</v>
      </c>
      <c r="AT109">
        <f t="shared" si="19"/>
        <v>0</v>
      </c>
      <c r="AU109">
        <f t="shared" si="19"/>
        <v>0</v>
      </c>
      <c r="AV109">
        <f t="shared" si="19"/>
        <v>0</v>
      </c>
      <c r="AW109">
        <f t="shared" si="19"/>
        <v>0</v>
      </c>
      <c r="AX109">
        <f t="shared" si="19"/>
        <v>0</v>
      </c>
      <c r="AY109">
        <f t="shared" si="18"/>
        <v>0</v>
      </c>
      <c r="AZ109">
        <f t="shared" si="18"/>
        <v>0</v>
      </c>
      <c r="BA109">
        <f t="shared" si="18"/>
        <v>0</v>
      </c>
      <c r="BB109">
        <f t="shared" si="18"/>
        <v>0</v>
      </c>
      <c r="BC109">
        <f t="shared" si="18"/>
        <v>0</v>
      </c>
      <c r="BD109">
        <f t="shared" si="18"/>
        <v>0</v>
      </c>
      <c r="BE109">
        <f t="shared" si="18"/>
        <v>0</v>
      </c>
      <c r="BF109">
        <f t="shared" si="18"/>
        <v>0</v>
      </c>
      <c r="BG109">
        <f t="shared" si="18"/>
        <v>0</v>
      </c>
      <c r="BH109">
        <f t="shared" si="18"/>
        <v>0</v>
      </c>
      <c r="BI109">
        <f t="shared" si="18"/>
        <v>0</v>
      </c>
      <c r="BJ109">
        <f t="shared" si="18"/>
        <v>0</v>
      </c>
    </row>
    <row r="110" spans="1:62" x14ac:dyDescent="0.25">
      <c r="A110" s="3" t="s">
        <v>573</v>
      </c>
      <c r="B110" t="s">
        <v>574</v>
      </c>
      <c r="C110" t="s">
        <v>572</v>
      </c>
      <c r="D110" s="26"/>
      <c r="E110">
        <v>109</v>
      </c>
      <c r="F110" s="27">
        <f>'DIN V 18599-10'!G47</f>
        <v>0</v>
      </c>
      <c r="G110" s="25">
        <f>'DIN V 18599-10'!H47</f>
        <v>24</v>
      </c>
      <c r="H110" s="25">
        <v>24</v>
      </c>
      <c r="I110" s="25">
        <v>365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>
        <v>20</v>
      </c>
      <c r="W110" s="25">
        <v>25</v>
      </c>
      <c r="X110" s="25">
        <v>4</v>
      </c>
      <c r="Y110" s="25"/>
      <c r="Z110" s="25"/>
      <c r="AA110" s="25"/>
      <c r="AB110" s="25"/>
      <c r="AC110" s="25"/>
      <c r="AD110" s="25"/>
      <c r="AE110" s="25"/>
      <c r="AF110" s="27">
        <f>'DIN V 18599-10'!C47</f>
        <v>80</v>
      </c>
      <c r="AG110" s="27" t="str">
        <f>'DIN V 18599-10'!E47</f>
        <v>6.4</v>
      </c>
      <c r="AH110" s="25"/>
      <c r="AI110" s="25">
        <f t="shared" ref="AI110:AI112" si="20">IF(MID(F110,2,1)=",",_xlfn.TEXTJOIN(".",FALSE,MID(F110,1,1),MID(F110,3,LEN(F110)-2)),IF(MID(F110,3,1)=",",_xlfn.TEXTJOIN(".",FALSE,MID(F110,1,2),MID(F110,4,LEN(F110)-3)),IF(MID(F110,4,1)=",",_xlfn.TEXTJOIN(".",FALSE,MID(F110,1,3),MID(F110,5,LEN(F110)-4)),IF(MID(F110,5,1)=",",_xlfn.TEXTJOIN(".",FALSE,MID(F110,1,4),MID(F110,6,LEN(F110)-5)),F110))))</f>
        <v>0</v>
      </c>
      <c r="AJ110" s="25">
        <f t="shared" ref="AJ110:AJ112" si="21">IF(MID(G110,2,1)=",",_xlfn.TEXTJOIN(".",FALSE,MID(G110,1,1),MID(G110,3,LEN(G110)-2)),IF(MID(G110,3,1)=",",_xlfn.TEXTJOIN(".",FALSE,MID(G110,1,2),MID(G110,4,LEN(G110)-3)),IF(MID(G110,4,1)=",",_xlfn.TEXTJOIN(".",FALSE,MID(G110,1,3),MID(G110,5,LEN(G110)-4)),IF(MID(G110,5,1)=",",_xlfn.TEXTJOIN(".",FALSE,MID(G110,1,4),MID(G110,6,LEN(G110)-5)),G110))))</f>
        <v>24</v>
      </c>
      <c r="AK110" s="25">
        <f t="shared" ref="AK110:AK112" si="22">IF(MID(H110,2,1)=",",_xlfn.TEXTJOIN(".",FALSE,MID(H110,1,1),MID(H110,3,LEN(H110)-2)),IF(MID(H110,3,1)=",",_xlfn.TEXTJOIN(".",FALSE,MID(H110,1,2),MID(H110,4,LEN(H110)-3)),IF(MID(H110,4,1)=",",_xlfn.TEXTJOIN(".",FALSE,MID(H110,1,3),MID(H110,5,LEN(H110)-4)),IF(MID(H110,5,1)=",",_xlfn.TEXTJOIN(".",FALSE,MID(H110,1,4),MID(H110,6,LEN(H110)-5)),H110))))</f>
        <v>24</v>
      </c>
      <c r="AL110" s="25">
        <f t="shared" ref="AL110:AL112" si="23">IF(MID(I110,2,1)=",",_xlfn.TEXTJOIN(".",FALSE,MID(I110,1,1),MID(I110,3,LEN(I110)-2)),IF(MID(I110,3,1)=",",_xlfn.TEXTJOIN(".",FALSE,MID(I110,1,2),MID(I110,4,LEN(I110)-3)),IF(MID(I110,4,1)=",",_xlfn.TEXTJOIN(".",FALSE,MID(I110,1,3),MID(I110,5,LEN(I110)-4)),IF(MID(I110,5,1)=",",_xlfn.TEXTJOIN(".",FALSE,MID(I110,1,4),MID(I110,6,LEN(I110)-5)),I110))))</f>
        <v>365</v>
      </c>
      <c r="AM110" s="25">
        <f t="shared" ref="AM110:AM112" si="24">IF(MID(J110,2,1)=",",_xlfn.TEXTJOIN(".",FALSE,MID(J110,1,1),MID(J110,3,LEN(J110)-2)),IF(MID(J110,3,1)=",",_xlfn.TEXTJOIN(".",FALSE,MID(J110,1,2),MID(J110,4,LEN(J110)-3)),IF(MID(J110,4,1)=",",_xlfn.TEXTJOIN(".",FALSE,MID(J110,1,3),MID(J110,5,LEN(J110)-4)),IF(MID(J110,5,1)=",",_xlfn.TEXTJOIN(".",FALSE,MID(J110,1,4),MID(J110,6,LEN(J110)-5)),J110))))</f>
        <v>0</v>
      </c>
      <c r="AN110" s="25">
        <f t="shared" ref="AN110:AN112" si="25">IF(MID(K110,2,1)=",",_xlfn.TEXTJOIN(".",FALSE,MID(K110,1,1),MID(K110,3,LEN(K110)-2)),IF(MID(K110,3,1)=",",_xlfn.TEXTJOIN(".",FALSE,MID(K110,1,2),MID(K110,4,LEN(K110)-3)),IF(MID(K110,4,1)=",",_xlfn.TEXTJOIN(".",FALSE,MID(K110,1,3),MID(K110,5,LEN(K110)-4)),IF(MID(K110,5,1)=",",_xlfn.TEXTJOIN(".",FALSE,MID(K110,1,4),MID(K110,6,LEN(K110)-5)),K110))))</f>
        <v>0</v>
      </c>
      <c r="AO110" s="25">
        <f t="shared" ref="AO110:AO112" si="26">IF(MID(L110,2,1)=",",_xlfn.TEXTJOIN(".",FALSE,MID(L110,1,1),MID(L110,3,LEN(L110)-2)),IF(MID(L110,3,1)=",",_xlfn.TEXTJOIN(".",FALSE,MID(L110,1,2),MID(L110,4,LEN(L110)-3)),IF(MID(L110,4,1)=",",_xlfn.TEXTJOIN(".",FALSE,MID(L110,1,3),MID(L110,5,LEN(L110)-4)),IF(MID(L110,5,1)=",",_xlfn.TEXTJOIN(".",FALSE,MID(L110,1,4),MID(L110,6,LEN(L110)-5)),L110))))</f>
        <v>0</v>
      </c>
      <c r="AP110" s="25">
        <f t="shared" ref="AP110:AP112" si="27">IF(MID(M110,2,1)=",",_xlfn.TEXTJOIN(".",FALSE,MID(M110,1,1),MID(M110,3,LEN(M110)-2)),IF(MID(M110,3,1)=",",_xlfn.TEXTJOIN(".",FALSE,MID(M110,1,2),MID(M110,4,LEN(M110)-3)),IF(MID(M110,4,1)=",",_xlfn.TEXTJOIN(".",FALSE,MID(M110,1,3),MID(M110,5,LEN(M110)-4)),IF(MID(M110,5,1)=",",_xlfn.TEXTJOIN(".",FALSE,MID(M110,1,4),MID(M110,6,LEN(M110)-5)),M110))))</f>
        <v>0</v>
      </c>
      <c r="AQ110" s="25">
        <f t="shared" ref="AQ110:AQ112" si="28">IF(MID(N110,2,1)=",",_xlfn.TEXTJOIN(".",FALSE,MID(N110,1,1),MID(N110,3,LEN(N110)-2)),IF(MID(N110,3,1)=",",_xlfn.TEXTJOIN(".",FALSE,MID(N110,1,2),MID(N110,4,LEN(N110)-3)),IF(MID(N110,4,1)=",",_xlfn.TEXTJOIN(".",FALSE,MID(N110,1,3),MID(N110,5,LEN(N110)-4)),IF(MID(N110,5,1)=",",_xlfn.TEXTJOIN(".",FALSE,MID(N110,1,4),MID(N110,6,LEN(N110)-5)),N110))))</f>
        <v>0</v>
      </c>
      <c r="AR110" s="25">
        <f t="shared" ref="AR110:AR112" si="29">IF(MID(O110,2,1)=",",_xlfn.TEXTJOIN(".",FALSE,MID(O110,1,1),MID(O110,3,LEN(O110)-2)),IF(MID(O110,3,1)=",",_xlfn.TEXTJOIN(".",FALSE,MID(O110,1,2),MID(O110,4,LEN(O110)-3)),IF(MID(O110,4,1)=",",_xlfn.TEXTJOIN(".",FALSE,MID(O110,1,3),MID(O110,5,LEN(O110)-4)),IF(MID(O110,5,1)=",",_xlfn.TEXTJOIN(".",FALSE,MID(O110,1,4),MID(O110,6,LEN(O110)-5)),O110))))</f>
        <v>0</v>
      </c>
      <c r="AS110" s="25">
        <f t="shared" ref="AS110:AS112" si="30">IF(MID(P110,2,1)=",",_xlfn.TEXTJOIN(".",FALSE,MID(P110,1,1),MID(P110,3,LEN(P110)-2)),IF(MID(P110,3,1)=",",_xlfn.TEXTJOIN(".",FALSE,MID(P110,1,2),MID(P110,4,LEN(P110)-3)),IF(MID(P110,4,1)=",",_xlfn.TEXTJOIN(".",FALSE,MID(P110,1,3),MID(P110,5,LEN(P110)-4)),IF(MID(P110,5,1)=",",_xlfn.TEXTJOIN(".",FALSE,MID(P110,1,4),MID(P110,6,LEN(P110)-5)),P110))))</f>
        <v>0</v>
      </c>
      <c r="AT110" s="25">
        <f t="shared" ref="AT110:AT112" si="31">IF(MID(Q110,2,1)=",",_xlfn.TEXTJOIN(".",FALSE,MID(Q110,1,1),MID(Q110,3,LEN(Q110)-2)),IF(MID(Q110,3,1)=",",_xlfn.TEXTJOIN(".",FALSE,MID(Q110,1,2),MID(Q110,4,LEN(Q110)-3)),IF(MID(Q110,4,1)=",",_xlfn.TEXTJOIN(".",FALSE,MID(Q110,1,3),MID(Q110,5,LEN(Q110)-4)),IF(MID(Q110,5,1)=",",_xlfn.TEXTJOIN(".",FALSE,MID(Q110,1,4),MID(Q110,6,LEN(Q110)-5)),Q110))))</f>
        <v>0</v>
      </c>
      <c r="AU110" s="25">
        <f t="shared" ref="AU110:AU112" si="32">IF(MID(R110,2,1)=",",_xlfn.TEXTJOIN(".",FALSE,MID(R110,1,1),MID(R110,3,LEN(R110)-2)),IF(MID(R110,3,1)=",",_xlfn.TEXTJOIN(".",FALSE,MID(R110,1,2),MID(R110,4,LEN(R110)-3)),IF(MID(R110,4,1)=",",_xlfn.TEXTJOIN(".",FALSE,MID(R110,1,3),MID(R110,5,LEN(R110)-4)),IF(MID(R110,5,1)=",",_xlfn.TEXTJOIN(".",FALSE,MID(R110,1,4),MID(R110,6,LEN(R110)-5)),R110))))</f>
        <v>0</v>
      </c>
      <c r="AV110" s="25">
        <f t="shared" ref="AV110:AV112" si="33">IF(MID(S110,2,1)=",",_xlfn.TEXTJOIN(".",FALSE,MID(S110,1,1),MID(S110,3,LEN(S110)-2)),IF(MID(S110,3,1)=",",_xlfn.TEXTJOIN(".",FALSE,MID(S110,1,2),MID(S110,4,LEN(S110)-3)),IF(MID(S110,4,1)=",",_xlfn.TEXTJOIN(".",FALSE,MID(S110,1,3),MID(S110,5,LEN(S110)-4)),IF(MID(S110,5,1)=",",_xlfn.TEXTJOIN(".",FALSE,MID(S110,1,4),MID(S110,6,LEN(S110)-5)),S110))))</f>
        <v>0</v>
      </c>
      <c r="AW110" s="25">
        <f t="shared" ref="AW110:AW112" si="34">IF(MID(T110,2,1)=",",_xlfn.TEXTJOIN(".",FALSE,MID(T110,1,1),MID(T110,3,LEN(T110)-2)),IF(MID(T110,3,1)=",",_xlfn.TEXTJOIN(".",FALSE,MID(T110,1,2),MID(T110,4,LEN(T110)-3)),IF(MID(T110,4,1)=",",_xlfn.TEXTJOIN(".",FALSE,MID(T110,1,3),MID(T110,5,LEN(T110)-4)),IF(MID(T110,5,1)=",",_xlfn.TEXTJOIN(".",FALSE,MID(T110,1,4),MID(T110,6,LEN(T110)-5)),T110))))</f>
        <v>0</v>
      </c>
      <c r="AX110" s="25">
        <f t="shared" ref="AX110:AX112" si="35">IF(MID(U110,2,1)=",",_xlfn.TEXTJOIN(".",FALSE,MID(U110,1,1),MID(U110,3,LEN(U110)-2)),IF(MID(U110,3,1)=",",_xlfn.TEXTJOIN(".",FALSE,MID(U110,1,2),MID(U110,4,LEN(U110)-3)),IF(MID(U110,4,1)=",",_xlfn.TEXTJOIN(".",FALSE,MID(U110,1,3),MID(U110,5,LEN(U110)-4)),IF(MID(U110,5,1)=",",_xlfn.TEXTJOIN(".",FALSE,MID(U110,1,4),MID(U110,6,LEN(U110)-5)),U110))))</f>
        <v>0</v>
      </c>
      <c r="AY110" s="25">
        <f t="shared" ref="AY110:AY112" si="36">IF(MID(V110,2,1)=",",_xlfn.TEXTJOIN(".",FALSE,MID(V110,1,1),MID(V110,3,LEN(V110)-2)),IF(MID(V110,3,1)=",",_xlfn.TEXTJOIN(".",FALSE,MID(V110,1,2),MID(V110,4,LEN(V110)-3)),IF(MID(V110,4,1)=",",_xlfn.TEXTJOIN(".",FALSE,MID(V110,1,3),MID(V110,5,LEN(V110)-4)),IF(MID(V110,5,1)=",",_xlfn.TEXTJOIN(".",FALSE,MID(V110,1,4),MID(V110,6,LEN(V110)-5)),V110))))</f>
        <v>20</v>
      </c>
      <c r="AZ110" s="25">
        <f t="shared" ref="AZ110:AZ112" si="37">IF(MID(W110,2,1)=",",_xlfn.TEXTJOIN(".",FALSE,MID(W110,1,1),MID(W110,3,LEN(W110)-2)),IF(MID(W110,3,1)=",",_xlfn.TEXTJOIN(".",FALSE,MID(W110,1,2),MID(W110,4,LEN(W110)-3)),IF(MID(W110,4,1)=",",_xlfn.TEXTJOIN(".",FALSE,MID(W110,1,3),MID(W110,5,LEN(W110)-4)),IF(MID(W110,5,1)=",",_xlfn.TEXTJOIN(".",FALSE,MID(W110,1,4),MID(W110,6,LEN(W110)-5)),W110))))</f>
        <v>25</v>
      </c>
      <c r="BA110" s="25">
        <f t="shared" ref="BA110:BA112" si="38">IF(MID(X110,2,1)=",",_xlfn.TEXTJOIN(".",FALSE,MID(X110,1,1),MID(X110,3,LEN(X110)-2)),IF(MID(X110,3,1)=",",_xlfn.TEXTJOIN(".",FALSE,MID(X110,1,2),MID(X110,4,LEN(X110)-3)),IF(MID(X110,4,1)=",",_xlfn.TEXTJOIN(".",FALSE,MID(X110,1,3),MID(X110,5,LEN(X110)-4)),IF(MID(X110,5,1)=",",_xlfn.TEXTJOIN(".",FALSE,MID(X110,1,4),MID(X110,6,LEN(X110)-5)),X110))))</f>
        <v>4</v>
      </c>
      <c r="BB110" s="25">
        <f t="shared" ref="BB110:BB112" si="39">IF(MID(Y110,2,1)=",",_xlfn.TEXTJOIN(".",FALSE,MID(Y110,1,1),MID(Y110,3,LEN(Y110)-2)),IF(MID(Y110,3,1)=",",_xlfn.TEXTJOIN(".",FALSE,MID(Y110,1,2),MID(Y110,4,LEN(Y110)-3)),IF(MID(Y110,4,1)=",",_xlfn.TEXTJOIN(".",FALSE,MID(Y110,1,3),MID(Y110,5,LEN(Y110)-4)),IF(MID(Y110,5,1)=",",_xlfn.TEXTJOIN(".",FALSE,MID(Y110,1,4),MID(Y110,6,LEN(Y110)-5)),Y110))))</f>
        <v>0</v>
      </c>
      <c r="BC110" s="25">
        <f t="shared" ref="BC110:BC112" si="40">IF(MID(Z110,2,1)=",",_xlfn.TEXTJOIN(".",FALSE,MID(Z110,1,1),MID(Z110,3,LEN(Z110)-2)),IF(MID(Z110,3,1)=",",_xlfn.TEXTJOIN(".",FALSE,MID(Z110,1,2),MID(Z110,4,LEN(Z110)-3)),IF(MID(Z110,4,1)=",",_xlfn.TEXTJOIN(".",FALSE,MID(Z110,1,3),MID(Z110,5,LEN(Z110)-4)),IF(MID(Z110,5,1)=",",_xlfn.TEXTJOIN(".",FALSE,MID(Z110,1,4),MID(Z110,6,LEN(Z110)-5)),Z110))))</f>
        <v>0</v>
      </c>
      <c r="BD110" s="25">
        <f t="shared" ref="BD110:BD112" si="41">IF(MID(AA110,2,1)=",",_xlfn.TEXTJOIN(".",FALSE,MID(AA110,1,1),MID(AA110,3,LEN(AA110)-2)),IF(MID(AA110,3,1)=",",_xlfn.TEXTJOIN(".",FALSE,MID(AA110,1,2),MID(AA110,4,LEN(AA110)-3)),IF(MID(AA110,4,1)=",",_xlfn.TEXTJOIN(".",FALSE,MID(AA110,1,3),MID(AA110,5,LEN(AA110)-4)),IF(MID(AA110,5,1)=",",_xlfn.TEXTJOIN(".",FALSE,MID(AA110,1,4),MID(AA110,6,LEN(AA110)-5)),AA110))))</f>
        <v>0</v>
      </c>
      <c r="BE110" s="25">
        <f t="shared" ref="BE110:BE112" si="42">IF(MID(AB110,2,1)=",",_xlfn.TEXTJOIN(".",FALSE,MID(AB110,1,1),MID(AB110,3,LEN(AB110)-2)),IF(MID(AB110,3,1)=",",_xlfn.TEXTJOIN(".",FALSE,MID(AB110,1,2),MID(AB110,4,LEN(AB110)-3)),IF(MID(AB110,4,1)=",",_xlfn.TEXTJOIN(".",FALSE,MID(AB110,1,3),MID(AB110,5,LEN(AB110)-4)),IF(MID(AB110,5,1)=",",_xlfn.TEXTJOIN(".",FALSE,MID(AB110,1,4),MID(AB110,6,LEN(AB110)-5)),AB110))))</f>
        <v>0</v>
      </c>
      <c r="BF110" s="25">
        <f t="shared" ref="BF110:BF112" si="43">IF(MID(AC110,2,1)=",",_xlfn.TEXTJOIN(".",FALSE,MID(AC110,1,1),MID(AC110,3,LEN(AC110)-2)),IF(MID(AC110,3,1)=",",_xlfn.TEXTJOIN(".",FALSE,MID(AC110,1,2),MID(AC110,4,LEN(AC110)-3)),IF(MID(AC110,4,1)=",",_xlfn.TEXTJOIN(".",FALSE,MID(AC110,1,3),MID(AC110,5,LEN(AC110)-4)),IF(MID(AC110,5,1)=",",_xlfn.TEXTJOIN(".",FALSE,MID(AC110,1,4),MID(AC110,6,LEN(AC110)-5)),AC110))))</f>
        <v>0</v>
      </c>
      <c r="BG110" s="25">
        <f t="shared" ref="BG110:BG112" si="44">IF(MID(AD110,2,1)=",",_xlfn.TEXTJOIN(".",FALSE,MID(AD110,1,1),MID(AD110,3,LEN(AD110)-2)),IF(MID(AD110,3,1)=",",_xlfn.TEXTJOIN(".",FALSE,MID(AD110,1,2),MID(AD110,4,LEN(AD110)-3)),IF(MID(AD110,4,1)=",",_xlfn.TEXTJOIN(".",FALSE,MID(AD110,1,3),MID(AD110,5,LEN(AD110)-4)),IF(MID(AD110,5,1)=",",_xlfn.TEXTJOIN(".",FALSE,MID(AD110,1,4),MID(AD110,6,LEN(AD110)-5)),AD110))))</f>
        <v>0</v>
      </c>
      <c r="BH110" s="25">
        <f t="shared" ref="BH110:BH112" si="45">IF(MID(AE110,2,1)=",",_xlfn.TEXTJOIN(".",FALSE,MID(AE110,1,1),MID(AE110,3,LEN(AE110)-2)),IF(MID(AE110,3,1)=",",_xlfn.TEXTJOIN(".",FALSE,MID(AE110,1,2),MID(AE110,4,LEN(AE110)-3)),IF(MID(AE110,4,1)=",",_xlfn.TEXTJOIN(".",FALSE,MID(AE110,1,3),MID(AE110,5,LEN(AE110)-4)),IF(MID(AE110,5,1)=",",_xlfn.TEXTJOIN(".",FALSE,MID(AE110,1,4),MID(AE110,6,LEN(AE110)-5)),AE110))))</f>
        <v>0</v>
      </c>
      <c r="BI110" s="25">
        <f t="shared" ref="BI110:BI112" si="46">IF(MID(AF110,2,1)=",",_xlfn.TEXTJOIN(".",FALSE,MID(AF110,1,1),MID(AF110,3,LEN(AF110)-2)),IF(MID(AF110,3,1)=",",_xlfn.TEXTJOIN(".",FALSE,MID(AF110,1,2),MID(AF110,4,LEN(AF110)-3)),IF(MID(AF110,4,1)=",",_xlfn.TEXTJOIN(".",FALSE,MID(AF110,1,3),MID(AF110,5,LEN(AF110)-4)),IF(MID(AF110,5,1)=",",_xlfn.TEXTJOIN(".",FALSE,MID(AF110,1,4),MID(AF110,6,LEN(AF110)-5)),AF110))))</f>
        <v>80</v>
      </c>
      <c r="BJ110" s="25" t="str">
        <f t="shared" ref="BJ110:BJ112" si="47">IF(MID(AG110,2,1)=",",_xlfn.TEXTJOIN(".",FALSE,MID(AG110,1,1),MID(AG110,3,LEN(AG110)-2)),IF(MID(AG110,3,1)=",",_xlfn.TEXTJOIN(".",FALSE,MID(AG110,1,2),MID(AG110,4,LEN(AG110)-3)),IF(MID(AG110,4,1)=",",_xlfn.TEXTJOIN(".",FALSE,MID(AG110,1,3),MID(AG110,5,LEN(AG110)-4)),IF(MID(AG110,5,1)=",",_xlfn.TEXTJOIN(".",FALSE,MID(AG110,1,4),MID(AG110,6,LEN(AG110)-5)),AG110))))</f>
        <v>6.4</v>
      </c>
    </row>
    <row r="111" spans="1:62" x14ac:dyDescent="0.25">
      <c r="A111" s="3" t="s">
        <v>191</v>
      </c>
      <c r="B111" t="s">
        <v>576</v>
      </c>
      <c r="C111" t="s">
        <v>572</v>
      </c>
      <c r="D111" t="s">
        <v>578</v>
      </c>
      <c r="E111">
        <v>110</v>
      </c>
      <c r="F111" s="27">
        <f>'DIN V 18599-10'!G45</f>
        <v>0</v>
      </c>
      <c r="G111" s="25">
        <f>'DIN V 18599-10'!H45</f>
        <v>24</v>
      </c>
      <c r="H111" s="25">
        <v>24</v>
      </c>
      <c r="I111" s="25">
        <v>365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>
        <v>20</v>
      </c>
      <c r="W111" s="25">
        <v>25</v>
      </c>
      <c r="X111" s="25">
        <v>4</v>
      </c>
      <c r="Y111" s="25"/>
      <c r="Z111" s="25"/>
      <c r="AA111" s="25"/>
      <c r="AB111" s="25"/>
      <c r="AC111" s="25"/>
      <c r="AD111" s="25"/>
      <c r="AE111" s="25"/>
      <c r="AF111" s="27">
        <f>'DIN V 18599-10'!C45</f>
        <v>80</v>
      </c>
      <c r="AG111" s="27" t="str">
        <f>'DIN V 18599-10'!E45</f>
        <v>5.6</v>
      </c>
      <c r="AH111" s="25"/>
      <c r="AI111" s="25">
        <f t="shared" si="20"/>
        <v>0</v>
      </c>
      <c r="AJ111" s="25">
        <f t="shared" si="21"/>
        <v>24</v>
      </c>
      <c r="AK111" s="25">
        <f t="shared" si="22"/>
        <v>24</v>
      </c>
      <c r="AL111" s="25">
        <f t="shared" si="23"/>
        <v>365</v>
      </c>
      <c r="AM111" s="25">
        <f t="shared" si="24"/>
        <v>0</v>
      </c>
      <c r="AN111" s="25">
        <f t="shared" si="25"/>
        <v>0</v>
      </c>
      <c r="AO111" s="25">
        <f t="shared" si="26"/>
        <v>0</v>
      </c>
      <c r="AP111" s="25">
        <f t="shared" si="27"/>
        <v>0</v>
      </c>
      <c r="AQ111" s="25">
        <f t="shared" si="28"/>
        <v>0</v>
      </c>
      <c r="AR111" s="25">
        <f t="shared" si="29"/>
        <v>0</v>
      </c>
      <c r="AS111" s="25">
        <f t="shared" si="30"/>
        <v>0</v>
      </c>
      <c r="AT111" s="25">
        <f t="shared" si="31"/>
        <v>0</v>
      </c>
      <c r="AU111" s="25">
        <f t="shared" si="32"/>
        <v>0</v>
      </c>
      <c r="AV111" s="25">
        <f t="shared" si="33"/>
        <v>0</v>
      </c>
      <c r="AW111" s="25">
        <f t="shared" si="34"/>
        <v>0</v>
      </c>
      <c r="AX111" s="25">
        <f t="shared" si="35"/>
        <v>0</v>
      </c>
      <c r="AY111" s="25">
        <f t="shared" si="36"/>
        <v>20</v>
      </c>
      <c r="AZ111" s="25">
        <f t="shared" si="37"/>
        <v>25</v>
      </c>
      <c r="BA111" s="25">
        <f t="shared" si="38"/>
        <v>4</v>
      </c>
      <c r="BB111" s="25">
        <f t="shared" si="39"/>
        <v>0</v>
      </c>
      <c r="BC111" s="25">
        <f t="shared" si="40"/>
        <v>0</v>
      </c>
      <c r="BD111" s="25">
        <f t="shared" si="41"/>
        <v>0</v>
      </c>
      <c r="BE111" s="25">
        <f t="shared" si="42"/>
        <v>0</v>
      </c>
      <c r="BF111" s="25">
        <f t="shared" si="43"/>
        <v>0</v>
      </c>
      <c r="BG111" s="25">
        <f t="shared" si="44"/>
        <v>0</v>
      </c>
      <c r="BH111" s="25">
        <f t="shared" si="45"/>
        <v>0</v>
      </c>
      <c r="BI111" s="25">
        <f t="shared" si="46"/>
        <v>80</v>
      </c>
      <c r="BJ111" s="25" t="str">
        <f t="shared" si="47"/>
        <v>5.6</v>
      </c>
    </row>
    <row r="112" spans="1:62" x14ac:dyDescent="0.25">
      <c r="A112" s="3" t="s">
        <v>575</v>
      </c>
      <c r="B112" t="s">
        <v>577</v>
      </c>
      <c r="C112" t="s">
        <v>572</v>
      </c>
      <c r="D112" t="s">
        <v>579</v>
      </c>
      <c r="E112">
        <v>111</v>
      </c>
      <c r="F112" s="27">
        <f>'DIN V 18599-10'!G46</f>
        <v>0</v>
      </c>
      <c r="G112" s="25">
        <f>'DIN V 18599-10'!H46</f>
        <v>24</v>
      </c>
      <c r="H112" s="25">
        <v>24</v>
      </c>
      <c r="I112" s="25">
        <v>365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>
        <v>20</v>
      </c>
      <c r="W112" s="25">
        <v>25</v>
      </c>
      <c r="X112" s="25">
        <v>4</v>
      </c>
      <c r="Y112" s="25"/>
      <c r="Z112" s="25"/>
      <c r="AA112" s="25"/>
      <c r="AB112" s="25"/>
      <c r="AC112" s="25"/>
      <c r="AD112" s="25"/>
      <c r="AE112" s="25"/>
      <c r="AF112" s="27">
        <f>'DIN V 18599-10'!C46</f>
        <v>80</v>
      </c>
      <c r="AG112" s="27" t="str">
        <f>'DIN V 18599-10'!E46</f>
        <v>7.2</v>
      </c>
      <c r="AH112" s="25"/>
      <c r="AI112" s="25">
        <f t="shared" si="20"/>
        <v>0</v>
      </c>
      <c r="AJ112" s="25">
        <f t="shared" si="21"/>
        <v>24</v>
      </c>
      <c r="AK112" s="25">
        <f t="shared" si="22"/>
        <v>24</v>
      </c>
      <c r="AL112" s="25">
        <f t="shared" si="23"/>
        <v>365</v>
      </c>
      <c r="AM112" s="25">
        <f t="shared" si="24"/>
        <v>0</v>
      </c>
      <c r="AN112" s="25">
        <f t="shared" si="25"/>
        <v>0</v>
      </c>
      <c r="AO112" s="25">
        <f t="shared" si="26"/>
        <v>0</v>
      </c>
      <c r="AP112" s="25">
        <f t="shared" si="27"/>
        <v>0</v>
      </c>
      <c r="AQ112" s="25">
        <f t="shared" si="28"/>
        <v>0</v>
      </c>
      <c r="AR112" s="25">
        <f t="shared" si="29"/>
        <v>0</v>
      </c>
      <c r="AS112" s="25">
        <f t="shared" si="30"/>
        <v>0</v>
      </c>
      <c r="AT112" s="25">
        <f t="shared" si="31"/>
        <v>0</v>
      </c>
      <c r="AU112" s="25">
        <f t="shared" si="32"/>
        <v>0</v>
      </c>
      <c r="AV112" s="25">
        <f t="shared" si="33"/>
        <v>0</v>
      </c>
      <c r="AW112" s="25">
        <f t="shared" si="34"/>
        <v>0</v>
      </c>
      <c r="AX112" s="25">
        <f t="shared" si="35"/>
        <v>0</v>
      </c>
      <c r="AY112" s="25">
        <f t="shared" si="36"/>
        <v>20</v>
      </c>
      <c r="AZ112" s="25">
        <f t="shared" si="37"/>
        <v>25</v>
      </c>
      <c r="BA112" s="25">
        <f t="shared" si="38"/>
        <v>4</v>
      </c>
      <c r="BB112" s="25">
        <f t="shared" si="39"/>
        <v>0</v>
      </c>
      <c r="BC112" s="25">
        <f t="shared" si="40"/>
        <v>0</v>
      </c>
      <c r="BD112" s="25">
        <f t="shared" si="41"/>
        <v>0</v>
      </c>
      <c r="BE112" s="25">
        <f t="shared" si="42"/>
        <v>0</v>
      </c>
      <c r="BF112" s="25">
        <f t="shared" si="43"/>
        <v>0</v>
      </c>
      <c r="BG112" s="25">
        <f t="shared" si="44"/>
        <v>0</v>
      </c>
      <c r="BH112" s="25">
        <f t="shared" si="45"/>
        <v>0</v>
      </c>
      <c r="BI112" s="25">
        <f t="shared" si="46"/>
        <v>80</v>
      </c>
      <c r="BJ112" s="25" t="str">
        <f t="shared" si="47"/>
        <v>7.2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abSelected="1" topLeftCell="A70" zoomScale="85" zoomScaleNormal="85" workbookViewId="0">
      <selection activeCell="A100" sqref="A100"/>
    </sheetView>
  </sheetViews>
  <sheetFormatPr baseColWidth="10" defaultRowHeight="15" x14ac:dyDescent="0.25"/>
  <cols>
    <col min="1" max="1" width="60.85546875" customWidth="1"/>
    <col min="2" max="2" width="72.7109375" customWidth="1"/>
    <col min="3" max="3" width="39.140625" customWidth="1"/>
    <col min="4" max="4" width="9.5703125" bestFit="1" customWidth="1"/>
    <col min="5" max="5" width="18.140625" customWidth="1"/>
    <col min="6" max="6" width="10.85546875" bestFit="1" customWidth="1"/>
    <col min="7" max="7" width="120.7109375" bestFit="1" customWidth="1"/>
    <col min="8" max="8" width="10.85546875" customWidth="1"/>
    <col min="9" max="10" width="13.7109375" customWidth="1"/>
    <col min="11" max="11" width="27.5703125" bestFit="1" customWidth="1"/>
    <col min="12" max="14" width="13.7109375" style="20" customWidth="1"/>
    <col min="15" max="16" width="13.7109375" customWidth="1"/>
    <col min="17" max="17" width="13" customWidth="1"/>
    <col min="18" max="18" width="27.42578125" bestFit="1" customWidth="1"/>
    <col min="19" max="19" width="29.85546875" bestFit="1" customWidth="1"/>
    <col min="20" max="20" width="28.5703125" bestFit="1" customWidth="1"/>
    <col min="25" max="25" width="18.140625" bestFit="1" customWidth="1"/>
  </cols>
  <sheetData>
    <row r="1" spans="1:26" x14ac:dyDescent="0.25">
      <c r="A1" s="7" t="s">
        <v>331</v>
      </c>
      <c r="B1" s="7" t="s">
        <v>332</v>
      </c>
      <c r="C1" s="8" t="s">
        <v>0</v>
      </c>
      <c r="D1" s="8" t="s">
        <v>1</v>
      </c>
      <c r="E1" s="8" t="s">
        <v>38</v>
      </c>
      <c r="F1" s="8" t="s">
        <v>39</v>
      </c>
      <c r="G1" s="17" t="s">
        <v>363</v>
      </c>
      <c r="H1" s="17" t="s">
        <v>364</v>
      </c>
      <c r="I1" s="18" t="s">
        <v>34</v>
      </c>
      <c r="J1" s="8" t="s">
        <v>40</v>
      </c>
      <c r="K1" s="17" t="s">
        <v>365</v>
      </c>
      <c r="L1" s="18" t="s">
        <v>35</v>
      </c>
      <c r="M1" s="18" t="s">
        <v>36</v>
      </c>
      <c r="N1" s="18" t="s">
        <v>37</v>
      </c>
      <c r="O1" s="8" t="s">
        <v>243</v>
      </c>
      <c r="P1" s="8" t="s">
        <v>41</v>
      </c>
      <c r="Q1" s="22" t="s">
        <v>42</v>
      </c>
      <c r="R1" s="17" t="s">
        <v>366</v>
      </c>
      <c r="S1" s="17" t="s">
        <v>367</v>
      </c>
      <c r="T1" s="17" t="s">
        <v>368</v>
      </c>
      <c r="U1" s="18" t="s">
        <v>339</v>
      </c>
      <c r="V1" s="18" t="s">
        <v>340</v>
      </c>
      <c r="W1" s="8" t="s">
        <v>341</v>
      </c>
      <c r="X1" s="8" t="s">
        <v>342</v>
      </c>
      <c r="Y1" s="17" t="s">
        <v>369</v>
      </c>
      <c r="Z1" s="17" t="s">
        <v>370</v>
      </c>
    </row>
    <row r="2" spans="1:26" x14ac:dyDescent="0.25">
      <c r="A2" t="s">
        <v>244</v>
      </c>
      <c r="B2" t="s">
        <v>248</v>
      </c>
      <c r="C2" t="s">
        <v>92</v>
      </c>
      <c r="D2" s="1" t="str">
        <f>VLOOKUP(Zuweisungen!C2,'DIN V 18599-10'!$A$2:$B$47,2,FALSE)</f>
        <v>2</v>
      </c>
      <c r="E2" t="s">
        <v>51</v>
      </c>
      <c r="F2" t="str">
        <f>VLOOKUP(Zuweisungen!E2,'SIA 2024'!$A$2:$C$46,3,FALSE)</f>
        <v>3.1</v>
      </c>
      <c r="G2" t="str">
        <f>VLOOKUP($B2,MZA!$D$2:$D$112,1,FALSE)</f>
        <v>Parlaments- oder Gerichtsgebäude</v>
      </c>
      <c r="H2">
        <f>VLOOKUP($B2,MZA!$D$2:$E$112,2,FALSE)</f>
        <v>2</v>
      </c>
      <c r="I2" s="9">
        <f>VLOOKUP(Zuweisungen!D2,'DIN V 18599-10'!$B$2:$F$47,2,FALSE)</f>
        <v>70</v>
      </c>
      <c r="J2" s="9">
        <f>VLOOKUP(Zuweisungen!F2,'SIA 2024'!$C$2:$G$46,2,FALSE)</f>
        <v>70</v>
      </c>
      <c r="K2" s="23" t="str">
        <f>VLOOKUP($H2,MZA!$E$2:$BJ$112,57,FALSE)</f>
        <v>70.03591739</v>
      </c>
      <c r="L2" s="19" t="str">
        <f>VLOOKUP(Zuweisungen!D2,'DIN V 18599-10'!$B$2:$F$47,3,FALSE)</f>
        <v>2.8</v>
      </c>
      <c r="M2" s="19" t="str">
        <f>VLOOKUP(Zuweisungen!D2,'DIN V 18599-10'!$B$2:$F$47,4,FALSE)</f>
        <v>7.1</v>
      </c>
      <c r="N2" s="19" t="str">
        <f>VLOOKUP(Zuweisungen!D2,'DIN V 18599-10'!$B$2:$F$47,5,FALSE)</f>
        <v>15</v>
      </c>
      <c r="O2" s="10">
        <f>VLOOKUP(Zuweisungen!F2,'SIA 2024'!$C$2:$G$46,4,FALSE)</f>
        <v>3</v>
      </c>
      <c r="P2" s="11">
        <f>VLOOKUP(Zuweisungen!F2,'SIA 2024'!$C$2:$G$46,3,FALSE)</f>
        <v>7</v>
      </c>
      <c r="Q2" s="12">
        <f>VLOOKUP(Zuweisungen!F2,'SIA 2024'!$C$2:$G$46,5,FALSE)</f>
        <v>15</v>
      </c>
      <c r="R2" s="24" t="str">
        <f>VLOOKUP($H2,MZA!$E$2:$BJ$112,58,FALSE)</f>
        <v>4.618916492</v>
      </c>
      <c r="S2" s="24" t="str">
        <f>VLOOKUP($H2,MZA!$E$2:$BJ$112,58,FALSE)</f>
        <v>4.618916492</v>
      </c>
      <c r="T2" s="24" t="str">
        <f>VLOOKUP($H2,MZA!$E$2:$BJ$112,58,FALSE)</f>
        <v>4.618916492</v>
      </c>
      <c r="U2" s="20">
        <f>VLOOKUP(Zuweisungen!D2,'DIN V 18599-10'!$B$2:$H$47,6,FALSE)</f>
        <v>7</v>
      </c>
      <c r="V2" s="20">
        <f>VLOOKUP(Zuweisungen!D2,'DIN V 18599-10'!$B$2:$H$47,7,FALSE)</f>
        <v>18</v>
      </c>
      <c r="W2">
        <f>VLOOKUP(Zuweisungen!F2,'SIA 2024'!$C$2:$I$46,6,FALSE)</f>
        <v>7</v>
      </c>
      <c r="X2">
        <f>VLOOKUP(Zuweisungen!F2,'SIA 2024'!$C$2:$I$46,7,FALSE)</f>
        <v>18</v>
      </c>
      <c r="Y2" s="3" t="str">
        <f>VLOOKUP($H2,MZA!$E$2:$BJ$112,31,FALSE)</f>
        <v>6.926084266</v>
      </c>
      <c r="Z2" s="3" t="str">
        <f>VLOOKUP($H2,MZA!$E$2:$BJ$112,32,FALSE)</f>
        <v>18.0920844</v>
      </c>
    </row>
    <row r="3" spans="1:26" x14ac:dyDescent="0.25">
      <c r="A3" t="s">
        <v>244</v>
      </c>
      <c r="B3" t="s">
        <v>251</v>
      </c>
      <c r="C3" t="s">
        <v>92</v>
      </c>
      <c r="D3" s="1" t="str">
        <f>VLOOKUP(Zuweisungen!C3,'DIN V 18599-10'!$A$2:$B$47,2,FALSE)</f>
        <v>2</v>
      </c>
      <c r="E3" t="s">
        <v>51</v>
      </c>
      <c r="F3" t="str">
        <f>VLOOKUP(Zuweisungen!E3,'SIA 2024'!$A$2:$C$46,3,FALSE)</f>
        <v>3.1</v>
      </c>
      <c r="G3" t="str">
        <f>VLOOKUP($B3,MZA!$D$2:$D$112,1,FALSE)</f>
        <v>Öffentliches Verwaltungs- oder Ämtergebäude, Rathaus</v>
      </c>
      <c r="H3">
        <f>VLOOKUP($B3,MZA!$D$2:$E$112,2,FALSE)</f>
        <v>3</v>
      </c>
      <c r="I3" s="9">
        <f>VLOOKUP(Zuweisungen!D3,'DIN V 18599-10'!$B$2:$F$47,2,FALSE)</f>
        <v>70</v>
      </c>
      <c r="J3" s="9">
        <f>VLOOKUP(Zuweisungen!F3,'SIA 2024'!$C$2:$G$46,2,FALSE)</f>
        <v>70</v>
      </c>
      <c r="K3" s="23" t="str">
        <f>VLOOKUP($H3,MZA!$E$2:$BJ$112,57,FALSE)</f>
        <v>70.15201907</v>
      </c>
      <c r="L3" s="19" t="str">
        <f>VLOOKUP(Zuweisungen!D3,'DIN V 18599-10'!$B$2:$F$47,3,FALSE)</f>
        <v>2.8</v>
      </c>
      <c r="M3" s="19" t="str">
        <f>VLOOKUP(Zuweisungen!D3,'DIN V 18599-10'!$B$2:$F$47,4,FALSE)</f>
        <v>7.1</v>
      </c>
      <c r="N3" s="19" t="str">
        <f>VLOOKUP(Zuweisungen!D3,'DIN V 18599-10'!$B$2:$F$47,5,FALSE)</f>
        <v>15</v>
      </c>
      <c r="O3" s="10">
        <f>VLOOKUP(Zuweisungen!F3,'SIA 2024'!$C$2:$G$46,4,FALSE)</f>
        <v>3</v>
      </c>
      <c r="P3" s="11">
        <f>VLOOKUP(Zuweisungen!F3,'SIA 2024'!$C$2:$G$46,3,FALSE)</f>
        <v>7</v>
      </c>
      <c r="Q3" s="12">
        <f>VLOOKUP(Zuweisungen!F3,'SIA 2024'!$C$2:$G$46,5,FALSE)</f>
        <v>15</v>
      </c>
      <c r="R3" s="24" t="str">
        <f>VLOOKUP($H3,MZA!$E$2:$BJ$112,58,FALSE)</f>
        <v>5.70648799</v>
      </c>
      <c r="S3" s="24" t="str">
        <f>VLOOKUP($H3,MZA!$E$2:$BJ$112,58,FALSE)</f>
        <v>5.70648799</v>
      </c>
      <c r="T3" s="24" t="str">
        <f>VLOOKUP($H3,MZA!$E$2:$BJ$112,58,FALSE)</f>
        <v>5.70648799</v>
      </c>
      <c r="U3">
        <f>VLOOKUP(Zuweisungen!D3,'DIN V 18599-10'!$B$2:$H$47,6,FALSE)</f>
        <v>7</v>
      </c>
      <c r="V3">
        <f>VLOOKUP(Zuweisungen!D3,'DIN V 18599-10'!$B$2:$H$47,7,FALSE)</f>
        <v>18</v>
      </c>
      <c r="W3">
        <f>VLOOKUP(Zuweisungen!F3,'SIA 2024'!$C$2:$I$46,6,FALSE)</f>
        <v>7</v>
      </c>
      <c r="X3">
        <f>VLOOKUP(Zuweisungen!F3,'SIA 2024'!$C$2:$I$46,7,FALSE)</f>
        <v>18</v>
      </c>
      <c r="Y3" s="3" t="str">
        <f>VLOOKUP($H3,MZA!$E$2:$BJ$112,31,FALSE)</f>
        <v>7.034280901</v>
      </c>
      <c r="Z3" s="3" t="str">
        <f>VLOOKUP($H3,MZA!$E$2:$BJ$112,32,FALSE)</f>
        <v>18.22519399</v>
      </c>
    </row>
    <row r="4" spans="1:26" x14ac:dyDescent="0.25">
      <c r="A4" t="s">
        <v>244</v>
      </c>
      <c r="B4" t="s">
        <v>250</v>
      </c>
      <c r="C4" t="s">
        <v>92</v>
      </c>
      <c r="D4" s="1" t="str">
        <f>VLOOKUP(Zuweisungen!C4,'DIN V 18599-10'!$A$2:$B$47,2,FALSE)</f>
        <v>2</v>
      </c>
      <c r="E4" t="s">
        <v>51</v>
      </c>
      <c r="F4" t="str">
        <f>VLOOKUP(Zuweisungen!E4,'SIA 2024'!$A$2:$C$46,3,FALSE)</f>
        <v>3.1</v>
      </c>
      <c r="G4" t="str">
        <f>VLOOKUP($B4,MZA!$D$2:$D$112,1,FALSE)</f>
        <v>Bürogebäude</v>
      </c>
      <c r="H4">
        <f>VLOOKUP($B4,MZA!$D$2:$E$112,2,FALSE)</f>
        <v>4</v>
      </c>
      <c r="I4" s="9">
        <f>VLOOKUP(Zuweisungen!D4,'DIN V 18599-10'!$B$2:$F$47,2,FALSE)</f>
        <v>70</v>
      </c>
      <c r="J4" s="9">
        <f>VLOOKUP(Zuweisungen!F4,'SIA 2024'!$C$2:$G$46,2,FALSE)</f>
        <v>70</v>
      </c>
      <c r="K4" s="23" t="str">
        <f>VLOOKUP($H4,MZA!$E$2:$BJ$112,57,FALSE)</f>
        <v>70.83535174</v>
      </c>
      <c r="L4" s="19" t="str">
        <f>VLOOKUP(Zuweisungen!D4,'DIN V 18599-10'!$B$2:$F$47,3,FALSE)</f>
        <v>2.8</v>
      </c>
      <c r="M4" s="19" t="str">
        <f>VLOOKUP(Zuweisungen!D4,'DIN V 18599-10'!$B$2:$F$47,4,FALSE)</f>
        <v>7.1</v>
      </c>
      <c r="N4" s="19" t="str">
        <f>VLOOKUP(Zuweisungen!D4,'DIN V 18599-10'!$B$2:$F$47,5,FALSE)</f>
        <v>15</v>
      </c>
      <c r="O4" s="10">
        <f>VLOOKUP(Zuweisungen!F4,'SIA 2024'!$C$2:$G$46,4,FALSE)</f>
        <v>3</v>
      </c>
      <c r="P4" s="11">
        <f>VLOOKUP(Zuweisungen!F4,'SIA 2024'!$C$2:$G$46,3,FALSE)</f>
        <v>7</v>
      </c>
      <c r="Q4" s="12">
        <f>VLOOKUP(Zuweisungen!F4,'SIA 2024'!$C$2:$G$46,5,FALSE)</f>
        <v>15</v>
      </c>
      <c r="R4" s="24" t="str">
        <f>VLOOKUP($H4,MZA!$E$2:$BJ$112,58,FALSE)</f>
        <v>8.196533564</v>
      </c>
      <c r="S4" s="24" t="str">
        <f>VLOOKUP($H4,MZA!$E$2:$BJ$112,58,FALSE)</f>
        <v>8.196533564</v>
      </c>
      <c r="T4" s="24" t="str">
        <f>VLOOKUP($H4,MZA!$E$2:$BJ$112,58,FALSE)</f>
        <v>8.196533564</v>
      </c>
      <c r="U4">
        <f>VLOOKUP(Zuweisungen!D4,'DIN V 18599-10'!$B$2:$H$47,6,FALSE)</f>
        <v>7</v>
      </c>
      <c r="V4">
        <f>VLOOKUP(Zuweisungen!D4,'DIN V 18599-10'!$B$2:$H$47,7,FALSE)</f>
        <v>18</v>
      </c>
      <c r="W4">
        <f>VLOOKUP(Zuweisungen!F4,'SIA 2024'!$C$2:$I$46,6,FALSE)</f>
        <v>7</v>
      </c>
      <c r="X4">
        <f>VLOOKUP(Zuweisungen!F4,'SIA 2024'!$C$2:$I$46,7,FALSE)</f>
        <v>18</v>
      </c>
      <c r="Y4" s="3" t="str">
        <f>VLOOKUP($H4,MZA!$E$2:$BJ$112,31,FALSE)</f>
        <v>6.509005669</v>
      </c>
      <c r="Z4" s="3" t="str">
        <f>VLOOKUP($H4,MZA!$E$2:$BJ$112,32,FALSE)</f>
        <v>18.56367248</v>
      </c>
    </row>
    <row r="5" spans="1:26" x14ac:dyDescent="0.25">
      <c r="A5" t="s">
        <v>244</v>
      </c>
      <c r="B5" t="s">
        <v>249</v>
      </c>
      <c r="C5" t="s">
        <v>92</v>
      </c>
      <c r="D5" s="1" t="str">
        <f>VLOOKUP(Zuweisungen!C5,'DIN V 18599-10'!$A$2:$B$47,2,FALSE)</f>
        <v>2</v>
      </c>
      <c r="E5" t="s">
        <v>51</v>
      </c>
      <c r="F5" t="str">
        <f>VLOOKUP(Zuweisungen!E5,'SIA 2024'!$A$2:$C$46,3,FALSE)</f>
        <v>3.1</v>
      </c>
      <c r="G5" t="str">
        <f>VLOOKUP($B5,MZA!$D$2:$D$112,1,FALSE)</f>
        <v>Rundfunk- oder Fernsehanstalt</v>
      </c>
      <c r="H5">
        <f>VLOOKUP($B5,MZA!$D$2:$E$112,2,FALSE)</f>
        <v>5</v>
      </c>
      <c r="I5" s="9">
        <f>VLOOKUP(Zuweisungen!D5,'DIN V 18599-10'!$B$2:$F$47,2,FALSE)</f>
        <v>70</v>
      </c>
      <c r="J5" s="9">
        <f>VLOOKUP(Zuweisungen!F5,'SIA 2024'!$C$2:$G$46,2,FALSE)</f>
        <v>70</v>
      </c>
      <c r="K5" s="23" t="str">
        <f>VLOOKUP($H5,MZA!$E$2:$BJ$112,57,FALSE)</f>
        <v>70.83535174</v>
      </c>
      <c r="L5" s="19" t="str">
        <f>VLOOKUP(Zuweisungen!D5,'DIN V 18599-10'!$B$2:$F$47,3,FALSE)</f>
        <v>2.8</v>
      </c>
      <c r="M5" s="19" t="str">
        <f>VLOOKUP(Zuweisungen!D5,'DIN V 18599-10'!$B$2:$F$47,4,FALSE)</f>
        <v>7.1</v>
      </c>
      <c r="N5" s="19" t="str">
        <f>VLOOKUP(Zuweisungen!D5,'DIN V 18599-10'!$B$2:$F$47,5,FALSE)</f>
        <v>15</v>
      </c>
      <c r="O5" s="10">
        <f>VLOOKUP(Zuweisungen!F5,'SIA 2024'!$C$2:$G$46,4,FALSE)</f>
        <v>3</v>
      </c>
      <c r="P5" s="11">
        <f>VLOOKUP(Zuweisungen!F5,'SIA 2024'!$C$2:$G$46,3,FALSE)</f>
        <v>7</v>
      </c>
      <c r="Q5" s="12">
        <f>VLOOKUP(Zuweisungen!F5,'SIA 2024'!$C$2:$G$46,5,FALSE)</f>
        <v>15</v>
      </c>
      <c r="R5" s="24" t="str">
        <f>VLOOKUP($H5,MZA!$E$2:$BJ$112,58,FALSE)</f>
        <v>8.196533564</v>
      </c>
      <c r="S5" s="24" t="str">
        <f>VLOOKUP($H5,MZA!$E$2:$BJ$112,58,FALSE)</f>
        <v>8.196533564</v>
      </c>
      <c r="T5" s="24" t="str">
        <f>VLOOKUP($H5,MZA!$E$2:$BJ$112,58,FALSE)</f>
        <v>8.196533564</v>
      </c>
      <c r="U5">
        <f>VLOOKUP(Zuweisungen!D5,'DIN V 18599-10'!$B$2:$H$47,6,FALSE)</f>
        <v>7</v>
      </c>
      <c r="V5">
        <f>VLOOKUP(Zuweisungen!D5,'DIN V 18599-10'!$B$2:$H$47,7,FALSE)</f>
        <v>18</v>
      </c>
      <c r="W5">
        <f>VLOOKUP(Zuweisungen!F5,'SIA 2024'!$C$2:$I$46,6,FALSE)</f>
        <v>7</v>
      </c>
      <c r="X5">
        <f>VLOOKUP(Zuweisungen!F5,'SIA 2024'!$C$2:$I$46,7,FALSE)</f>
        <v>18</v>
      </c>
      <c r="Y5" s="3" t="str">
        <f>VLOOKUP($H5,MZA!$E$2:$BJ$112,31,FALSE)</f>
        <v>6.509005669</v>
      </c>
      <c r="Z5" s="3" t="str">
        <f>VLOOKUP($H5,MZA!$E$2:$BJ$112,32,FALSE)</f>
        <v>18.56367248</v>
      </c>
    </row>
    <row r="6" spans="1:26" x14ac:dyDescent="0.25">
      <c r="A6" t="s">
        <v>244</v>
      </c>
      <c r="B6" t="s">
        <v>252</v>
      </c>
      <c r="C6" t="s">
        <v>94</v>
      </c>
      <c r="D6" s="1" t="str">
        <f>VLOOKUP(Zuweisungen!C6,'DIN V 18599-10'!$A$2:$B$47,2,FALSE)</f>
        <v>3</v>
      </c>
      <c r="E6" t="s">
        <v>49</v>
      </c>
      <c r="F6" t="str">
        <f>VLOOKUP(Zuweisungen!E6,'SIA 2024'!$A$2:$C$46,3,FALSE)</f>
        <v>3.2</v>
      </c>
      <c r="G6" t="str">
        <f>VLOOKUP($B6,MZA!$D$2:$D$112,1,FALSE)</f>
        <v>Polizeipräsidium oder -station, Bürogebäude sonstiger Bereitschaftsdienste</v>
      </c>
      <c r="H6">
        <f>VLOOKUP($B6,MZA!$D$2:$E$112,2,FALSE)</f>
        <v>6</v>
      </c>
      <c r="I6" s="9">
        <f>VLOOKUP(Zuweisungen!D6,'DIN V 18599-10'!$B$2:$F$47,2,FALSE)</f>
        <v>70</v>
      </c>
      <c r="J6" s="9">
        <f>VLOOKUP(Zuweisungen!F6,'SIA 2024'!$C$2:$G$46,2,FALSE)</f>
        <v>70</v>
      </c>
      <c r="K6" s="23" t="str">
        <f>VLOOKUP($H6,MZA!$E$2:$BJ$112,57,FALSE)</f>
        <v>71.95337703</v>
      </c>
      <c r="L6" s="19" t="str">
        <f>VLOOKUP(Zuweisungen!D6,'DIN V 18599-10'!$B$2:$F$47,3,FALSE)</f>
        <v>4.2</v>
      </c>
      <c r="M6" s="19" t="str">
        <f>VLOOKUP(Zuweisungen!D6,'DIN V 18599-10'!$B$2:$F$47,4,FALSE)</f>
        <v>10</v>
      </c>
      <c r="N6" s="19" t="str">
        <f>VLOOKUP(Zuweisungen!D6,'DIN V 18599-10'!$B$2:$F$47,5,FALSE)</f>
        <v>18.8</v>
      </c>
      <c r="O6" s="10">
        <f>VLOOKUP(Zuweisungen!F6,'SIA 2024'!$C$2:$G$46,4,FALSE)</f>
        <v>4</v>
      </c>
      <c r="P6" s="11">
        <f>VLOOKUP(Zuweisungen!F6,'SIA 2024'!$C$2:$G$46,3,FALSE)</f>
        <v>10</v>
      </c>
      <c r="Q6" s="12">
        <f>VLOOKUP(Zuweisungen!F6,'SIA 2024'!$C$2:$G$46,5,FALSE)</f>
        <v>19</v>
      </c>
      <c r="R6" s="24" t="str">
        <f>VLOOKUP($H6,MZA!$E$2:$BJ$112,58,FALSE)</f>
        <v>6.292866971</v>
      </c>
      <c r="S6" s="24" t="str">
        <f>VLOOKUP($H6,MZA!$E$2:$BJ$112,58,FALSE)</f>
        <v>6.292866971</v>
      </c>
      <c r="T6" s="24" t="str">
        <f>VLOOKUP($H6,MZA!$E$2:$BJ$112,58,FALSE)</f>
        <v>6.292866971</v>
      </c>
      <c r="U6">
        <f>VLOOKUP(Zuweisungen!D6,'DIN V 18599-10'!$B$2:$H$47,6,FALSE)</f>
        <v>7</v>
      </c>
      <c r="V6">
        <f>VLOOKUP(Zuweisungen!D6,'DIN V 18599-10'!$B$2:$H$47,7,FALSE)</f>
        <v>18</v>
      </c>
      <c r="W6">
        <f>VLOOKUP(Zuweisungen!F6,'SIA 2024'!$C$2:$I$46,6,FALSE)</f>
        <v>7</v>
      </c>
      <c r="X6">
        <f>VLOOKUP(Zuweisungen!F6,'SIA 2024'!$C$2:$I$46,7,FALSE)</f>
        <v>18</v>
      </c>
      <c r="Y6" s="3" t="str">
        <f>VLOOKUP($H6,MZA!$E$2:$BJ$112,31,FALSE)</f>
        <v>5.989012537</v>
      </c>
      <c r="Z6" s="3" t="str">
        <f>VLOOKUP($H6,MZA!$E$2:$BJ$112,32,FALSE)</f>
        <v>18.86618155</v>
      </c>
    </row>
    <row r="7" spans="1:26" x14ac:dyDescent="0.25">
      <c r="A7" t="s">
        <v>7</v>
      </c>
      <c r="B7" t="s">
        <v>334</v>
      </c>
      <c r="C7" t="s">
        <v>104</v>
      </c>
      <c r="D7" s="1" t="str">
        <f>VLOOKUP(Zuweisungen!C7,'DIN V 18599-10'!$A$2:$B$47,2,FALSE)</f>
        <v>9</v>
      </c>
      <c r="E7" t="s">
        <v>54</v>
      </c>
      <c r="F7" t="str">
        <f>VLOOKUP(Zuweisungen!E7,'SIA 2024'!$A$2:$C$46,3,FALSE)</f>
        <v>4.4</v>
      </c>
      <c r="G7" t="str">
        <f>VLOOKUP($B7,MZA!$D$2:$D$112,1,FALSE)</f>
        <v>Hörsaalgebäude</v>
      </c>
      <c r="H7">
        <f>VLOOKUP($B7,MZA!$D$2:$E$112,2,FALSE)</f>
        <v>8</v>
      </c>
      <c r="I7" s="9">
        <f>VLOOKUP(Zuweisungen!D7,'DIN V 18599-10'!$B$2:$F$47,2,FALSE)</f>
        <v>70</v>
      </c>
      <c r="J7" s="9">
        <f>VLOOKUP(Zuweisungen!F7,'SIA 2024'!$C$2:$G$46,2,FALSE)</f>
        <v>70</v>
      </c>
      <c r="K7" s="23" t="str">
        <f>VLOOKUP($H7,MZA!$E$2:$BJ$112,57,FALSE)</f>
        <v>70.43398315</v>
      </c>
      <c r="L7" s="19" t="str">
        <f>VLOOKUP(Zuweisungen!D7,'DIN V 18599-10'!$B$2:$F$47,3,FALSE)</f>
        <v>2</v>
      </c>
      <c r="M7" s="19" t="str">
        <f>VLOOKUP(Zuweisungen!D7,'DIN V 18599-10'!$B$2:$F$47,4,FALSE)</f>
        <v>4</v>
      </c>
      <c r="N7" s="19" t="str">
        <f>VLOOKUP(Zuweisungen!D7,'DIN V 18599-10'!$B$2:$F$47,5,FALSE)</f>
        <v>6</v>
      </c>
      <c r="O7" s="10">
        <f>VLOOKUP(Zuweisungen!F7,'SIA 2024'!$C$2:$G$46,4,FALSE)</f>
        <v>2</v>
      </c>
      <c r="P7" s="11">
        <f>VLOOKUP(Zuweisungen!F7,'SIA 2024'!$C$2:$G$46,3,FALSE)</f>
        <v>4</v>
      </c>
      <c r="Q7" s="12">
        <f>VLOOKUP(Zuweisungen!F7,'SIA 2024'!$C$2:$G$46,5,FALSE)</f>
        <v>6</v>
      </c>
      <c r="R7" s="24" t="str">
        <f>VLOOKUP($H7,MZA!$E$2:$BJ$112,58,FALSE)</f>
        <v>2.308446608</v>
      </c>
      <c r="S7" s="24" t="str">
        <f>VLOOKUP($H7,MZA!$E$2:$BJ$112,58,FALSE)</f>
        <v>2.308446608</v>
      </c>
      <c r="T7" s="24" t="str">
        <f>VLOOKUP($H7,MZA!$E$2:$BJ$112,58,FALSE)</f>
        <v>2.308446608</v>
      </c>
      <c r="U7">
        <f>VLOOKUP(Zuweisungen!D7,'DIN V 18599-10'!$B$2:$H$47,6,FALSE)</f>
        <v>8</v>
      </c>
      <c r="V7">
        <f>VLOOKUP(Zuweisungen!D7,'DIN V 18599-10'!$B$2:$H$47,7,FALSE)</f>
        <v>18</v>
      </c>
      <c r="W7">
        <f>VLOOKUP(Zuweisungen!F7,'SIA 2024'!$C$2:$I$46,6,FALSE)</f>
        <v>7</v>
      </c>
      <c r="X7">
        <f>VLOOKUP(Zuweisungen!F7,'SIA 2024'!$C$2:$I$46,7,FALSE)</f>
        <v>18</v>
      </c>
      <c r="Y7" s="3" t="str">
        <f>VLOOKUP($H7,MZA!$E$2:$BJ$112,31,FALSE)</f>
        <v>7.11362455</v>
      </c>
      <c r="Z7" s="3" t="str">
        <f>VLOOKUP($H7,MZA!$E$2:$BJ$112,32,FALSE)</f>
        <v>18.06675122</v>
      </c>
    </row>
    <row r="8" spans="1:26" x14ac:dyDescent="0.25">
      <c r="A8" t="s">
        <v>7</v>
      </c>
      <c r="B8" t="s">
        <v>333</v>
      </c>
      <c r="C8" t="s">
        <v>92</v>
      </c>
      <c r="D8" s="1" t="str">
        <f>VLOOKUP(Zuweisungen!C8,'DIN V 18599-10'!$A$2:$B$47,2,FALSE)</f>
        <v>2</v>
      </c>
      <c r="E8" t="s">
        <v>49</v>
      </c>
      <c r="F8" t="str">
        <f>VLOOKUP(Zuweisungen!E8,'SIA 2024'!$A$2:$C$46,3,FALSE)</f>
        <v>3.2</v>
      </c>
      <c r="G8" t="str">
        <f>VLOOKUP($B8,MZA!$D$2:$D$112,1,FALSE)</f>
        <v>Verwaltungs- oder Seminargebäude</v>
      </c>
      <c r="H8">
        <f>VLOOKUP($B8,MZA!$D$2:$E$112,2,FALSE)</f>
        <v>9</v>
      </c>
      <c r="I8" s="9">
        <f>VLOOKUP(Zuweisungen!D8,'DIN V 18599-10'!$B$2:$F$47,2,FALSE)</f>
        <v>70</v>
      </c>
      <c r="J8" s="9">
        <f>VLOOKUP(Zuweisungen!F8,'SIA 2024'!$C$2:$G$46,2,FALSE)</f>
        <v>70</v>
      </c>
      <c r="K8" s="23" t="str">
        <f>VLOOKUP($H8,MZA!$E$2:$BJ$112,57,FALSE)</f>
        <v>73.34939808</v>
      </c>
      <c r="L8" s="19" t="str">
        <f>VLOOKUP(Zuweisungen!D8,'DIN V 18599-10'!$B$2:$F$47,3,FALSE)</f>
        <v>2.8</v>
      </c>
      <c r="M8" s="19" t="str">
        <f>VLOOKUP(Zuweisungen!D8,'DIN V 18599-10'!$B$2:$F$47,4,FALSE)</f>
        <v>7.1</v>
      </c>
      <c r="N8" s="19" t="str">
        <f>VLOOKUP(Zuweisungen!D8,'DIN V 18599-10'!$B$2:$F$47,5,FALSE)</f>
        <v>15</v>
      </c>
      <c r="O8" s="10">
        <f>VLOOKUP(Zuweisungen!F8,'SIA 2024'!$C$2:$G$46,4,FALSE)</f>
        <v>4</v>
      </c>
      <c r="P8" s="11">
        <f>VLOOKUP(Zuweisungen!F8,'SIA 2024'!$C$2:$G$46,3,FALSE)</f>
        <v>10</v>
      </c>
      <c r="Q8" s="12">
        <f>VLOOKUP(Zuweisungen!F8,'SIA 2024'!$C$2:$G$46,5,FALSE)</f>
        <v>19</v>
      </c>
      <c r="R8" s="24" t="str">
        <f>VLOOKUP($H8,MZA!$E$2:$BJ$112,58,FALSE)</f>
        <v>6.384713193</v>
      </c>
      <c r="S8" s="24" t="str">
        <f>VLOOKUP($H8,MZA!$E$2:$BJ$112,58,FALSE)</f>
        <v>6.384713193</v>
      </c>
      <c r="T8" s="24" t="str">
        <f>VLOOKUP($H8,MZA!$E$2:$BJ$112,58,FALSE)</f>
        <v>6.384713193</v>
      </c>
      <c r="U8">
        <f>VLOOKUP(Zuweisungen!D8,'DIN V 18599-10'!$B$2:$H$47,6,FALSE)</f>
        <v>7</v>
      </c>
      <c r="V8">
        <f>VLOOKUP(Zuweisungen!D8,'DIN V 18599-10'!$B$2:$H$47,7,FALSE)</f>
        <v>18</v>
      </c>
      <c r="W8">
        <f>VLOOKUP(Zuweisungen!F8,'SIA 2024'!$C$2:$I$46,6,FALSE)</f>
        <v>7</v>
      </c>
      <c r="X8">
        <f>VLOOKUP(Zuweisungen!F8,'SIA 2024'!$C$2:$I$46,7,FALSE)</f>
        <v>18</v>
      </c>
      <c r="Y8" s="3" t="str">
        <f>VLOOKUP($H8,MZA!$E$2:$BJ$112,31,FALSE)</f>
        <v>7.024703624</v>
      </c>
      <c r="Z8" s="3" t="str">
        <f>VLOOKUP($H8,MZA!$E$2:$BJ$112,32,FALSE)</f>
        <v>18.07159139</v>
      </c>
    </row>
    <row r="9" spans="1:26" x14ac:dyDescent="0.25">
      <c r="A9" t="s">
        <v>7</v>
      </c>
      <c r="B9" t="s">
        <v>253</v>
      </c>
      <c r="C9" t="s">
        <v>154</v>
      </c>
      <c r="D9" s="1" t="str">
        <f>VLOOKUP(Zuweisungen!C9,'DIN V 18599-10'!$A$2:$B$47,2,FALSE)</f>
        <v>36</v>
      </c>
      <c r="E9" t="s">
        <v>220</v>
      </c>
      <c r="F9" t="str">
        <f>VLOOKUP(Zuweisungen!E9,'SIA 2024'!$A$2:$C$46,3,FALSE)</f>
        <v>9.3</v>
      </c>
      <c r="G9" t="str">
        <f>VLOOKUP($B9,MZA!$D$2:$D$112,1,FALSE)</f>
        <v>Institutsgebäude für Forschung und Lehre (Labor mit geringen Anforderungen an die Raumlufttechnik, z.B. Medizin, Informatik)</v>
      </c>
      <c r="H9">
        <f>VLOOKUP($B9,MZA!$D$2:$E$112,2,FALSE)</f>
        <v>10</v>
      </c>
      <c r="I9" s="9" t="str">
        <f>VLOOKUP(Zuweisungen!D9,'DIN V 18599-10'!$B$2:$F$47,2,FALSE)</f>
        <v>90</v>
      </c>
      <c r="J9" s="9">
        <f>VLOOKUP(Zuweisungen!F9,'SIA 2024'!$C$2:$G$46,2,FALSE)</f>
        <v>70</v>
      </c>
      <c r="K9" s="23" t="str">
        <f>VLOOKUP($H9,MZA!$E$2:$BJ$112,57,FALSE)</f>
        <v>72.51748694</v>
      </c>
      <c r="L9" s="19" t="str">
        <f>VLOOKUP(Zuweisungen!D9,'DIN V 18599-10'!$B$2:$F$47,3,FALSE)</f>
        <v>6</v>
      </c>
      <c r="M9" s="19" t="str">
        <f>VLOOKUP(Zuweisungen!D9,'DIN V 18599-10'!$B$2:$F$47,4,FALSE)</f>
        <v>18</v>
      </c>
      <c r="N9" s="19" t="str">
        <f>VLOOKUP(Zuweisungen!D9,'DIN V 18599-10'!$B$2:$F$47,5,FALSE)</f>
        <v>63</v>
      </c>
      <c r="O9" s="10">
        <f>VLOOKUP(Zuweisungen!F9,'SIA 2024'!$C$2:$G$46,4,FALSE)</f>
        <v>15</v>
      </c>
      <c r="P9" s="11">
        <f>VLOOKUP(Zuweisungen!F9,'SIA 2024'!$C$2:$G$46,3,FALSE)</f>
        <v>20</v>
      </c>
      <c r="Q9" s="12">
        <f>VLOOKUP(Zuweisungen!F9,'SIA 2024'!$C$2:$G$46,5,FALSE)</f>
        <v>25</v>
      </c>
      <c r="R9" s="24" t="str">
        <f>VLOOKUP($H9,MZA!$E$2:$BJ$112,58,FALSE)</f>
        <v>5.380630057</v>
      </c>
      <c r="S9" s="24" t="str">
        <f>VLOOKUP($H9,MZA!$E$2:$BJ$112,58,FALSE)</f>
        <v>5.380630057</v>
      </c>
      <c r="T9" s="24" t="str">
        <f>VLOOKUP($H9,MZA!$E$2:$BJ$112,58,FALSE)</f>
        <v>5.380630057</v>
      </c>
      <c r="U9">
        <f>VLOOKUP(Zuweisungen!D9,'DIN V 18599-10'!$B$2:$H$47,6,FALSE)</f>
        <v>7</v>
      </c>
      <c r="V9">
        <f>VLOOKUP(Zuweisungen!D9,'DIN V 18599-10'!$B$2:$H$47,7,FALSE)</f>
        <v>18</v>
      </c>
      <c r="W9">
        <f>VLOOKUP(Zuweisungen!F9,'SIA 2024'!$C$2:$I$46,6,FALSE)</f>
        <v>7</v>
      </c>
      <c r="X9">
        <f>VLOOKUP(Zuweisungen!F9,'SIA 2024'!$C$2:$I$46,7,FALSE)</f>
        <v>18</v>
      </c>
      <c r="Y9" s="3" t="str">
        <f>VLOOKUP($H9,MZA!$E$2:$BJ$112,31,FALSE)</f>
        <v>7.060335768</v>
      </c>
      <c r="Z9" s="3" t="str">
        <f>VLOOKUP($H9,MZA!$E$2:$BJ$112,32,FALSE)</f>
        <v>18.05820108</v>
      </c>
    </row>
    <row r="10" spans="1:26" x14ac:dyDescent="0.25">
      <c r="A10" t="s">
        <v>7</v>
      </c>
      <c r="B10" t="s">
        <v>254</v>
      </c>
      <c r="C10" t="s">
        <v>154</v>
      </c>
      <c r="D10" s="1" t="str">
        <f>VLOOKUP(Zuweisungen!C10,'DIN V 18599-10'!$A$2:$B$47,2,FALSE)</f>
        <v>36</v>
      </c>
      <c r="E10" t="s">
        <v>220</v>
      </c>
      <c r="F10" t="str">
        <f>VLOOKUP(Zuweisungen!E10,'SIA 2024'!$A$2:$C$46,3,FALSE)</f>
        <v>9.3</v>
      </c>
      <c r="G10" t="str">
        <f>VLOOKUP($B10,MZA!$D$2:$D$112,1,FALSE)</f>
        <v>Institutsgebäude für Forschung und Lehre (Labor mit hohen Anforderungen an die Raumlufttechnik, z.B. Chemie, Tierforschung)</v>
      </c>
      <c r="H10">
        <f>VLOOKUP($B10,MZA!$D$2:$E$112,2,FALSE)</f>
        <v>11</v>
      </c>
      <c r="I10" s="9" t="str">
        <f>VLOOKUP(Zuweisungen!D10,'DIN V 18599-10'!$B$2:$F$47,2,FALSE)</f>
        <v>90</v>
      </c>
      <c r="J10" s="9">
        <f>VLOOKUP(Zuweisungen!F10,'SIA 2024'!$C$2:$G$46,2,FALSE)</f>
        <v>70</v>
      </c>
      <c r="K10" s="23" t="str">
        <f>VLOOKUP($H10,MZA!$E$2:$BJ$112,57,FALSE)</f>
        <v>75.8996111</v>
      </c>
      <c r="L10" s="19" t="str">
        <f>VLOOKUP(Zuweisungen!D10,'DIN V 18599-10'!$B$2:$F$47,3,FALSE)</f>
        <v>6</v>
      </c>
      <c r="M10" s="19" t="str">
        <f>VLOOKUP(Zuweisungen!D10,'DIN V 18599-10'!$B$2:$F$47,4,FALSE)</f>
        <v>18</v>
      </c>
      <c r="N10" s="19" t="str">
        <f>VLOOKUP(Zuweisungen!D10,'DIN V 18599-10'!$B$2:$F$47,5,FALSE)</f>
        <v>63</v>
      </c>
      <c r="O10" s="10">
        <f>VLOOKUP(Zuweisungen!F10,'SIA 2024'!$C$2:$G$46,4,FALSE)</f>
        <v>15</v>
      </c>
      <c r="P10" s="11">
        <f>VLOOKUP(Zuweisungen!F10,'SIA 2024'!$C$2:$G$46,3,FALSE)</f>
        <v>20</v>
      </c>
      <c r="Q10" s="12">
        <f>VLOOKUP(Zuweisungen!F10,'SIA 2024'!$C$2:$G$46,5,FALSE)</f>
        <v>25</v>
      </c>
      <c r="R10" s="24" t="str">
        <f>VLOOKUP($H10,MZA!$E$2:$BJ$112,58,FALSE)</f>
        <v>7.399500272</v>
      </c>
      <c r="S10" s="24" t="str">
        <f>VLOOKUP($H10,MZA!$E$2:$BJ$112,58,FALSE)</f>
        <v>7.399500272</v>
      </c>
      <c r="T10" s="24" t="str">
        <f>VLOOKUP($H10,MZA!$E$2:$BJ$112,58,FALSE)</f>
        <v>7.399500272</v>
      </c>
      <c r="U10">
        <f>VLOOKUP(Zuweisungen!D10,'DIN V 18599-10'!$B$2:$H$47,6,FALSE)</f>
        <v>7</v>
      </c>
      <c r="V10">
        <f>VLOOKUP(Zuweisungen!D10,'DIN V 18599-10'!$B$2:$H$47,7,FALSE)</f>
        <v>18</v>
      </c>
      <c r="W10">
        <f>VLOOKUP(Zuweisungen!F10,'SIA 2024'!$C$2:$I$46,6,FALSE)</f>
        <v>7</v>
      </c>
      <c r="X10">
        <f>VLOOKUP(Zuweisungen!F10,'SIA 2024'!$C$2:$I$46,7,FALSE)</f>
        <v>18</v>
      </c>
      <c r="Y10" s="3" t="str">
        <f>VLOOKUP($H10,MZA!$E$2:$BJ$112,31,FALSE)</f>
        <v>6.986345731</v>
      </c>
      <c r="Z10" s="3" t="str">
        <f>VLOOKUP($H10,MZA!$E$2:$BJ$112,32,FALSE)</f>
        <v>17.95253095</v>
      </c>
    </row>
    <row r="11" spans="1:26" x14ac:dyDescent="0.25">
      <c r="A11" t="s">
        <v>7</v>
      </c>
      <c r="B11" t="s">
        <v>255</v>
      </c>
      <c r="C11" t="s">
        <v>92</v>
      </c>
      <c r="D11" s="1" t="str">
        <f>VLOOKUP(Zuweisungen!C11,'DIN V 18599-10'!$A$2:$B$47,2,FALSE)</f>
        <v>2</v>
      </c>
      <c r="E11" t="s">
        <v>51</v>
      </c>
      <c r="F11" t="str">
        <f>VLOOKUP(Zuweisungen!E11,'SIA 2024'!$A$2:$C$46,3,FALSE)</f>
        <v>3.1</v>
      </c>
      <c r="G11" t="str">
        <f>VLOOKUP($B11,MZA!$D$2:$D$112,1,FALSE)</f>
        <v>Bürogebäude von Forschungsanstalten ohne Lehre</v>
      </c>
      <c r="H11">
        <f>VLOOKUP($B11,MZA!$D$2:$E$112,2,FALSE)</f>
        <v>12</v>
      </c>
      <c r="I11" s="9">
        <f>VLOOKUP(Zuweisungen!D11,'DIN V 18599-10'!$B$2:$F$47,2,FALSE)</f>
        <v>70</v>
      </c>
      <c r="J11" s="9">
        <f>VLOOKUP(Zuweisungen!F11,'SIA 2024'!$C$2:$G$46,2,FALSE)</f>
        <v>70</v>
      </c>
      <c r="K11" s="23" t="str">
        <f>VLOOKUP($H11,MZA!$E$2:$BJ$112,57,FALSE)</f>
        <v>74.41778237</v>
      </c>
      <c r="L11" s="19" t="str">
        <f>VLOOKUP(Zuweisungen!D11,'DIN V 18599-10'!$B$2:$F$47,3,FALSE)</f>
        <v>2.8</v>
      </c>
      <c r="M11" s="19" t="str">
        <f>VLOOKUP(Zuweisungen!D11,'DIN V 18599-10'!$B$2:$F$47,4,FALSE)</f>
        <v>7.1</v>
      </c>
      <c r="N11" s="19" t="str">
        <f>VLOOKUP(Zuweisungen!D11,'DIN V 18599-10'!$B$2:$F$47,5,FALSE)</f>
        <v>15</v>
      </c>
      <c r="O11" s="10">
        <f>VLOOKUP(Zuweisungen!F11,'SIA 2024'!$C$2:$G$46,4,FALSE)</f>
        <v>3</v>
      </c>
      <c r="P11" s="11">
        <f>VLOOKUP(Zuweisungen!F11,'SIA 2024'!$C$2:$G$46,3,FALSE)</f>
        <v>7</v>
      </c>
      <c r="Q11" s="12">
        <f>VLOOKUP(Zuweisungen!F11,'SIA 2024'!$C$2:$G$46,5,FALSE)</f>
        <v>15</v>
      </c>
      <c r="R11" s="24" t="str">
        <f>VLOOKUP($H11,MZA!$E$2:$BJ$112,58,FALSE)</f>
        <v>7.305043502</v>
      </c>
      <c r="S11" s="24" t="str">
        <f>VLOOKUP($H11,MZA!$E$2:$BJ$112,58,FALSE)</f>
        <v>7.305043502</v>
      </c>
      <c r="T11" s="24" t="str">
        <f>VLOOKUP($H11,MZA!$E$2:$BJ$112,58,FALSE)</f>
        <v>7.305043502</v>
      </c>
      <c r="U11">
        <f>VLOOKUP(Zuweisungen!D11,'DIN V 18599-10'!$B$2:$H$47,6,FALSE)</f>
        <v>7</v>
      </c>
      <c r="V11">
        <f>VLOOKUP(Zuweisungen!D11,'DIN V 18599-10'!$B$2:$H$47,7,FALSE)</f>
        <v>18</v>
      </c>
      <c r="W11">
        <f>VLOOKUP(Zuweisungen!F11,'SIA 2024'!$C$2:$I$46,6,FALSE)</f>
        <v>7</v>
      </c>
      <c r="X11">
        <f>VLOOKUP(Zuweisungen!F11,'SIA 2024'!$C$2:$I$46,7,FALSE)</f>
        <v>18</v>
      </c>
      <c r="Y11" s="3" t="str">
        <f>VLOOKUP($H11,MZA!$E$2:$BJ$112,31,FALSE)</f>
        <v>6.517940435</v>
      </c>
      <c r="Z11" s="3" t="str">
        <f>VLOOKUP($H11,MZA!$E$2:$BJ$112,32,FALSE)</f>
        <v>18.44796786</v>
      </c>
    </row>
    <row r="12" spans="1:26" x14ac:dyDescent="0.25">
      <c r="A12" t="s">
        <v>7</v>
      </c>
      <c r="B12" t="s">
        <v>256</v>
      </c>
      <c r="C12" t="s">
        <v>154</v>
      </c>
      <c r="D12" s="1" t="str">
        <f>VLOOKUP(Zuweisungen!C12,'DIN V 18599-10'!$A$2:$B$47,2,FALSE)</f>
        <v>36</v>
      </c>
      <c r="E12" t="s">
        <v>220</v>
      </c>
      <c r="F12" t="str">
        <f>VLOOKUP(Zuweisungen!E12,'SIA 2024'!$A$2:$C$46,3,FALSE)</f>
        <v>9.3</v>
      </c>
      <c r="G12" t="str">
        <f>VLOOKUP($B12,MZA!$D$2:$D$112,1,FALSE)</f>
        <v>Laborgebäude von Forschungsanstalten und Unternehmen (Labor mit geringen Anforderungen an die Raumlufttechnik)</v>
      </c>
      <c r="H12">
        <f>VLOOKUP($B12,MZA!$D$2:$E$112,2,FALSE)</f>
        <v>13</v>
      </c>
      <c r="I12" s="9" t="str">
        <f>VLOOKUP(Zuweisungen!D12,'DIN V 18599-10'!$B$2:$F$47,2,FALSE)</f>
        <v>90</v>
      </c>
      <c r="J12" s="9">
        <f>VLOOKUP(Zuweisungen!F12,'SIA 2024'!$C$2:$G$46,2,FALSE)</f>
        <v>70</v>
      </c>
      <c r="K12" s="23" t="str">
        <f>VLOOKUP($H12,MZA!$E$2:$BJ$112,57,FALSE)</f>
        <v>76.41795535</v>
      </c>
      <c r="L12" s="19" t="str">
        <f>VLOOKUP(Zuweisungen!D12,'DIN V 18599-10'!$B$2:$F$47,3,FALSE)</f>
        <v>6</v>
      </c>
      <c r="M12" s="19" t="str">
        <f>VLOOKUP(Zuweisungen!D12,'DIN V 18599-10'!$B$2:$F$47,4,FALSE)</f>
        <v>18</v>
      </c>
      <c r="N12" s="19" t="str">
        <f>VLOOKUP(Zuweisungen!D12,'DIN V 18599-10'!$B$2:$F$47,5,FALSE)</f>
        <v>63</v>
      </c>
      <c r="O12" s="10">
        <f>VLOOKUP(Zuweisungen!F12,'SIA 2024'!$C$2:$G$46,4,FALSE)</f>
        <v>15</v>
      </c>
      <c r="P12" s="11">
        <f>VLOOKUP(Zuweisungen!F12,'SIA 2024'!$C$2:$G$46,3,FALSE)</f>
        <v>20</v>
      </c>
      <c r="Q12" s="12">
        <f>VLOOKUP(Zuweisungen!F12,'SIA 2024'!$C$2:$G$46,5,FALSE)</f>
        <v>25</v>
      </c>
      <c r="R12" s="24" t="str">
        <f>VLOOKUP($H12,MZA!$E$2:$BJ$112,58,FALSE)</f>
        <v>8.476542913</v>
      </c>
      <c r="S12" s="24" t="str">
        <f>VLOOKUP($H12,MZA!$E$2:$BJ$112,58,FALSE)</f>
        <v>8.476542913</v>
      </c>
      <c r="T12" s="24" t="str">
        <f>VLOOKUP($H12,MZA!$E$2:$BJ$112,58,FALSE)</f>
        <v>8.476542913</v>
      </c>
      <c r="U12">
        <f>VLOOKUP(Zuweisungen!D12,'DIN V 18599-10'!$B$2:$H$47,6,FALSE)</f>
        <v>7</v>
      </c>
      <c r="V12">
        <f>VLOOKUP(Zuweisungen!D12,'DIN V 18599-10'!$B$2:$H$47,7,FALSE)</f>
        <v>18</v>
      </c>
      <c r="W12">
        <f>VLOOKUP(Zuweisungen!F12,'SIA 2024'!$C$2:$I$46,6,FALSE)</f>
        <v>7</v>
      </c>
      <c r="X12">
        <f>VLOOKUP(Zuweisungen!F12,'SIA 2024'!$C$2:$I$46,7,FALSE)</f>
        <v>18</v>
      </c>
      <c r="Y12" s="3" t="str">
        <f>VLOOKUP($H12,MZA!$E$2:$BJ$112,31,FALSE)</f>
        <v>6.943740434</v>
      </c>
      <c r="Z12" s="3" t="str">
        <f>VLOOKUP($H12,MZA!$E$2:$BJ$112,32,FALSE)</f>
        <v>18.00906305</v>
      </c>
    </row>
    <row r="13" spans="1:26" x14ac:dyDescent="0.25">
      <c r="A13" t="s">
        <v>7</v>
      </c>
      <c r="B13" t="s">
        <v>257</v>
      </c>
      <c r="C13" t="s">
        <v>154</v>
      </c>
      <c r="D13" s="1" t="str">
        <f>VLOOKUP(Zuweisungen!C13,'DIN V 18599-10'!$A$2:$B$47,2,FALSE)</f>
        <v>36</v>
      </c>
      <c r="E13" t="s">
        <v>220</v>
      </c>
      <c r="F13" t="str">
        <f>VLOOKUP(Zuweisungen!E13,'SIA 2024'!$A$2:$C$46,3,FALSE)</f>
        <v>9.3</v>
      </c>
      <c r="G13" t="str">
        <f>VLOOKUP($B13,MZA!$D$2:$D$112,1,FALSE)</f>
        <v>Laborgebäude von Forschungsanstalten und Unternehmen (Labor mit hohen Anforderungen an die Raumlufttechnik)</v>
      </c>
      <c r="H13">
        <f>VLOOKUP($B13,MZA!$D$2:$E$112,2,FALSE)</f>
        <v>14</v>
      </c>
      <c r="I13" s="9" t="str">
        <f>VLOOKUP(Zuweisungen!D13,'DIN V 18599-10'!$B$2:$F$47,2,FALSE)</f>
        <v>90</v>
      </c>
      <c r="J13" s="9">
        <f>VLOOKUP(Zuweisungen!F13,'SIA 2024'!$C$2:$G$46,2,FALSE)</f>
        <v>70</v>
      </c>
      <c r="K13" s="23" t="str">
        <f>VLOOKUP($H13,MZA!$E$2:$BJ$112,57,FALSE)</f>
        <v>76.41795535</v>
      </c>
      <c r="L13" s="19" t="str">
        <f>VLOOKUP(Zuweisungen!D13,'DIN V 18599-10'!$B$2:$F$47,3,FALSE)</f>
        <v>6</v>
      </c>
      <c r="M13" s="19" t="str">
        <f>VLOOKUP(Zuweisungen!D13,'DIN V 18599-10'!$B$2:$F$47,4,FALSE)</f>
        <v>18</v>
      </c>
      <c r="N13" s="19" t="str">
        <f>VLOOKUP(Zuweisungen!D13,'DIN V 18599-10'!$B$2:$F$47,5,FALSE)</f>
        <v>63</v>
      </c>
      <c r="O13" s="10">
        <f>VLOOKUP(Zuweisungen!F13,'SIA 2024'!$C$2:$G$46,4,FALSE)</f>
        <v>15</v>
      </c>
      <c r="P13" s="11">
        <f>VLOOKUP(Zuweisungen!F13,'SIA 2024'!$C$2:$G$46,3,FALSE)</f>
        <v>20</v>
      </c>
      <c r="Q13" s="12">
        <f>VLOOKUP(Zuweisungen!F13,'SIA 2024'!$C$2:$G$46,5,FALSE)</f>
        <v>25</v>
      </c>
      <c r="R13" s="24" t="str">
        <f>VLOOKUP($H13,MZA!$E$2:$BJ$112,58,FALSE)</f>
        <v>8.476542913</v>
      </c>
      <c r="S13" s="24" t="str">
        <f>VLOOKUP($H13,MZA!$E$2:$BJ$112,58,FALSE)</f>
        <v>8.476542913</v>
      </c>
      <c r="T13" s="24" t="str">
        <f>VLOOKUP($H13,MZA!$E$2:$BJ$112,58,FALSE)</f>
        <v>8.476542913</v>
      </c>
      <c r="U13">
        <f>VLOOKUP(Zuweisungen!D13,'DIN V 18599-10'!$B$2:$H$47,6,FALSE)</f>
        <v>7</v>
      </c>
      <c r="V13">
        <f>VLOOKUP(Zuweisungen!D13,'DIN V 18599-10'!$B$2:$H$47,7,FALSE)</f>
        <v>18</v>
      </c>
      <c r="W13">
        <f>VLOOKUP(Zuweisungen!F13,'SIA 2024'!$C$2:$I$46,6,FALSE)</f>
        <v>7</v>
      </c>
      <c r="X13">
        <f>VLOOKUP(Zuweisungen!F13,'SIA 2024'!$C$2:$I$46,7,FALSE)</f>
        <v>18</v>
      </c>
      <c r="Y13" s="3" t="str">
        <f>VLOOKUP($H13,MZA!$E$2:$BJ$112,31,FALSE)</f>
        <v>6.943740434</v>
      </c>
      <c r="Z13" s="3" t="str">
        <f>VLOOKUP($H13,MZA!$E$2:$BJ$112,32,FALSE)</f>
        <v>18.00906305</v>
      </c>
    </row>
    <row r="14" spans="1:26" x14ac:dyDescent="0.25">
      <c r="A14" t="s">
        <v>15</v>
      </c>
      <c r="B14" t="s">
        <v>258</v>
      </c>
      <c r="C14" t="s">
        <v>106</v>
      </c>
      <c r="D14" s="1" t="str">
        <f>VLOOKUP(Zuweisungen!C14,'DIN V 18599-10'!$A$2:$B$47,2,FALSE)</f>
        <v>10</v>
      </c>
      <c r="E14" t="s">
        <v>2</v>
      </c>
      <c r="F14" t="str">
        <f>VLOOKUP(Zuweisungen!E14,'SIA 2024'!$A$2:$C$46,3,FALSE)</f>
        <v>8.1</v>
      </c>
      <c r="G14" t="str">
        <f>VLOOKUP($B14,MZA!$D$2:$D$112,1,FALSE)</f>
        <v>Hochschulklinik</v>
      </c>
      <c r="H14">
        <f>VLOOKUP($B14,MZA!$D$2:$E$112,2,FALSE)</f>
        <v>16</v>
      </c>
      <c r="I14" s="9">
        <f>VLOOKUP(Zuweisungen!D14,'DIN V 18599-10'!$B$2:$F$47,2,FALSE)</f>
        <v>70</v>
      </c>
      <c r="J14" s="9">
        <f>VLOOKUP(Zuweisungen!F14,'SIA 2024'!$C$2:$G$46,2,FALSE)</f>
        <v>70</v>
      </c>
      <c r="K14" s="23" t="str">
        <f>VLOOKUP($H14,MZA!$E$2:$BJ$112,57,FALSE)</f>
        <v>70.65620378</v>
      </c>
      <c r="L14" s="19" t="str">
        <f>VLOOKUP(Zuweisungen!D14,'DIN V 18599-10'!$B$2:$F$47,3,FALSE)</f>
        <v>2</v>
      </c>
      <c r="M14" s="19" t="str">
        <f>VLOOKUP(Zuweisungen!D14,'DIN V 18599-10'!$B$2:$F$47,4,FALSE)</f>
        <v>4</v>
      </c>
      <c r="N14" s="19" t="str">
        <f>VLOOKUP(Zuweisungen!D14,'DIN V 18599-10'!$B$2:$F$47,5,FALSE)</f>
        <v>6</v>
      </c>
      <c r="O14" s="10">
        <f>VLOOKUP(Zuweisungen!F14,'SIA 2024'!$C$2:$G$46,4,FALSE)</f>
        <v>2</v>
      </c>
      <c r="P14" s="11">
        <f>VLOOKUP(Zuweisungen!F14,'SIA 2024'!$C$2:$G$46,3,FALSE)</f>
        <v>4</v>
      </c>
      <c r="Q14" s="12">
        <f>VLOOKUP(Zuweisungen!F14,'SIA 2024'!$C$2:$G$46,5,FALSE)</f>
        <v>6</v>
      </c>
      <c r="R14" s="24" t="str">
        <f>VLOOKUP($H14,MZA!$E$2:$BJ$112,58,FALSE)</f>
        <v>4.261837985</v>
      </c>
      <c r="S14" s="24" t="str">
        <f>VLOOKUP($H14,MZA!$E$2:$BJ$112,58,FALSE)</f>
        <v>4.261837985</v>
      </c>
      <c r="T14" s="24" t="str">
        <f>VLOOKUP($H14,MZA!$E$2:$BJ$112,58,FALSE)</f>
        <v>4.261837985</v>
      </c>
      <c r="U14">
        <f>VLOOKUP(Zuweisungen!D14,'DIN V 18599-10'!$B$2:$H$47,6,FALSE)</f>
        <v>0</v>
      </c>
      <c r="V14">
        <f>VLOOKUP(Zuweisungen!D14,'DIN V 18599-10'!$B$2:$H$47,7,FALSE)</f>
        <v>24</v>
      </c>
      <c r="W14">
        <f>VLOOKUP(Zuweisungen!F14,'SIA 2024'!$C$2:$I$46,6,FALSE)</f>
        <v>0</v>
      </c>
      <c r="X14">
        <f>VLOOKUP(Zuweisungen!F14,'SIA 2024'!$C$2:$I$46,7,FALSE)</f>
        <v>24</v>
      </c>
      <c r="Y14" s="3" t="str">
        <f>VLOOKUP($H14,MZA!$E$2:$BJ$112,31,FALSE)</f>
        <v>5.774205337</v>
      </c>
      <c r="Z14" s="3" t="str">
        <f>VLOOKUP($H14,MZA!$E$2:$BJ$112,32,FALSE)</f>
        <v>19.48331652</v>
      </c>
    </row>
    <row r="15" spans="1:26" x14ac:dyDescent="0.25">
      <c r="A15" t="s">
        <v>15</v>
      </c>
      <c r="B15" t="s">
        <v>259</v>
      </c>
      <c r="C15" t="s">
        <v>106</v>
      </c>
      <c r="D15" s="1" t="str">
        <f>VLOOKUP(Zuweisungen!C15,'DIN V 18599-10'!$A$2:$B$47,2,FALSE)</f>
        <v>10</v>
      </c>
      <c r="E15" t="s">
        <v>2</v>
      </c>
      <c r="F15" t="str">
        <f>VLOOKUP(Zuweisungen!E15,'SIA 2024'!$A$2:$C$46,3,FALSE)</f>
        <v>8.1</v>
      </c>
      <c r="G15" t="str">
        <f>VLOOKUP($B15,MZA!$D$2:$D$112,1,FALSE)</f>
        <v>Krankenhaus</v>
      </c>
      <c r="H15">
        <f>VLOOKUP($B15,MZA!$D$2:$E$112,2,FALSE)</f>
        <v>17</v>
      </c>
      <c r="I15" s="9">
        <f>VLOOKUP(Zuweisungen!D15,'DIN V 18599-10'!$B$2:$F$47,2,FALSE)</f>
        <v>70</v>
      </c>
      <c r="J15" s="9">
        <f>VLOOKUP(Zuweisungen!F15,'SIA 2024'!$C$2:$G$46,2,FALSE)</f>
        <v>70</v>
      </c>
      <c r="K15" s="23" t="str">
        <f>VLOOKUP($H15,MZA!$E$2:$BJ$112,57,FALSE)</f>
        <v>70.44989501</v>
      </c>
      <c r="L15" s="19" t="str">
        <f>VLOOKUP(Zuweisungen!D15,'DIN V 18599-10'!$B$2:$F$47,3,FALSE)</f>
        <v>2</v>
      </c>
      <c r="M15" s="19" t="str">
        <f>VLOOKUP(Zuweisungen!D15,'DIN V 18599-10'!$B$2:$F$47,4,FALSE)</f>
        <v>4</v>
      </c>
      <c r="N15" s="19" t="str">
        <f>VLOOKUP(Zuweisungen!D15,'DIN V 18599-10'!$B$2:$F$47,5,FALSE)</f>
        <v>6</v>
      </c>
      <c r="O15" s="10">
        <f>VLOOKUP(Zuweisungen!F15,'SIA 2024'!$C$2:$G$46,4,FALSE)</f>
        <v>2</v>
      </c>
      <c r="P15" s="11">
        <f>VLOOKUP(Zuweisungen!F15,'SIA 2024'!$C$2:$G$46,3,FALSE)</f>
        <v>4</v>
      </c>
      <c r="Q15" s="12">
        <f>VLOOKUP(Zuweisungen!F15,'SIA 2024'!$C$2:$G$46,5,FALSE)</f>
        <v>6</v>
      </c>
      <c r="R15" s="24" t="str">
        <f>VLOOKUP($H15,MZA!$E$2:$BJ$112,58,FALSE)</f>
        <v>4.439176422</v>
      </c>
      <c r="S15" s="24" t="str">
        <f>VLOOKUP($H15,MZA!$E$2:$BJ$112,58,FALSE)</f>
        <v>4.439176422</v>
      </c>
      <c r="T15" s="24" t="str">
        <f>VLOOKUP($H15,MZA!$E$2:$BJ$112,58,FALSE)</f>
        <v>4.439176422</v>
      </c>
      <c r="U15">
        <f>VLOOKUP(Zuweisungen!D15,'DIN V 18599-10'!$B$2:$H$47,6,FALSE)</f>
        <v>0</v>
      </c>
      <c r="V15">
        <f>VLOOKUP(Zuweisungen!D15,'DIN V 18599-10'!$B$2:$H$47,7,FALSE)</f>
        <v>24</v>
      </c>
      <c r="W15">
        <f>VLOOKUP(Zuweisungen!F15,'SIA 2024'!$C$2:$I$46,6,FALSE)</f>
        <v>0</v>
      </c>
      <c r="X15">
        <f>VLOOKUP(Zuweisungen!F15,'SIA 2024'!$C$2:$I$46,7,FALSE)</f>
        <v>24</v>
      </c>
      <c r="Y15" s="3" t="str">
        <f>VLOOKUP($H15,MZA!$E$2:$BJ$112,31,FALSE)</f>
        <v>3.623027733</v>
      </c>
      <c r="Z15" s="3" t="str">
        <f>VLOOKUP($H15,MZA!$E$2:$BJ$112,32,FALSE)</f>
        <v>21.13336391</v>
      </c>
    </row>
    <row r="16" spans="1:26" x14ac:dyDescent="0.25">
      <c r="A16" t="s">
        <v>15</v>
      </c>
      <c r="B16" t="s">
        <v>260</v>
      </c>
      <c r="C16" t="s">
        <v>106</v>
      </c>
      <c r="D16" s="1" t="str">
        <f>VLOOKUP(Zuweisungen!C16,'DIN V 18599-10'!$A$2:$B$47,2,FALSE)</f>
        <v>10</v>
      </c>
      <c r="E16" t="s">
        <v>2</v>
      </c>
      <c r="F16" t="str">
        <f>VLOOKUP(Zuweisungen!E16,'SIA 2024'!$A$2:$C$46,3,FALSE)</f>
        <v>8.1</v>
      </c>
      <c r="G16" t="str">
        <f>VLOOKUP($B16,MZA!$D$2:$D$112,1,FALSE)</f>
        <v>Gebäude für teilstationäre Versorgung (z.B. Tagesklinik, Geburtshaus)</v>
      </c>
      <c r="H16">
        <f>VLOOKUP($B16,MZA!$D$2:$E$112,2,FALSE)</f>
        <v>18</v>
      </c>
      <c r="I16" s="9">
        <f>VLOOKUP(Zuweisungen!D16,'DIN V 18599-10'!$B$2:$F$47,2,FALSE)</f>
        <v>70</v>
      </c>
      <c r="J16" s="9">
        <f>VLOOKUP(Zuweisungen!F16,'SIA 2024'!$C$2:$G$46,2,FALSE)</f>
        <v>70</v>
      </c>
      <c r="K16" s="23" t="str">
        <f>VLOOKUP($H16,MZA!$E$2:$BJ$112,57,FALSE)</f>
        <v>70.79737096</v>
      </c>
      <c r="L16" s="19" t="str">
        <f>VLOOKUP(Zuweisungen!D16,'DIN V 18599-10'!$B$2:$F$47,3,FALSE)</f>
        <v>2</v>
      </c>
      <c r="M16" s="19" t="str">
        <f>VLOOKUP(Zuweisungen!D16,'DIN V 18599-10'!$B$2:$F$47,4,FALSE)</f>
        <v>4</v>
      </c>
      <c r="N16" s="19" t="str">
        <f>VLOOKUP(Zuweisungen!D16,'DIN V 18599-10'!$B$2:$F$47,5,FALSE)</f>
        <v>6</v>
      </c>
      <c r="O16" s="10">
        <f>VLOOKUP(Zuweisungen!F16,'SIA 2024'!$C$2:$G$46,4,FALSE)</f>
        <v>2</v>
      </c>
      <c r="P16" s="11">
        <f>VLOOKUP(Zuweisungen!F16,'SIA 2024'!$C$2:$G$46,3,FALSE)</f>
        <v>4</v>
      </c>
      <c r="Q16" s="12">
        <f>VLOOKUP(Zuweisungen!F16,'SIA 2024'!$C$2:$G$46,5,FALSE)</f>
        <v>6</v>
      </c>
      <c r="R16" s="24" t="str">
        <f>VLOOKUP($H16,MZA!$E$2:$BJ$112,58,FALSE)</f>
        <v>4.027274337</v>
      </c>
      <c r="S16" s="24" t="str">
        <f>VLOOKUP($H16,MZA!$E$2:$BJ$112,58,FALSE)</f>
        <v>4.027274337</v>
      </c>
      <c r="T16" s="24" t="str">
        <f>VLOOKUP($H16,MZA!$E$2:$BJ$112,58,FALSE)</f>
        <v>4.027274337</v>
      </c>
      <c r="U16">
        <f>VLOOKUP(Zuweisungen!D16,'DIN V 18599-10'!$B$2:$H$47,6,FALSE)</f>
        <v>0</v>
      </c>
      <c r="V16">
        <f>VLOOKUP(Zuweisungen!D16,'DIN V 18599-10'!$B$2:$H$47,7,FALSE)</f>
        <v>24</v>
      </c>
      <c r="W16">
        <f>VLOOKUP(Zuweisungen!F16,'SIA 2024'!$C$2:$I$46,6,FALSE)</f>
        <v>0</v>
      </c>
      <c r="X16">
        <f>VLOOKUP(Zuweisungen!F16,'SIA 2024'!$C$2:$I$46,7,FALSE)</f>
        <v>24</v>
      </c>
      <c r="Y16" s="3" t="str">
        <f>VLOOKUP($H16,MZA!$E$2:$BJ$112,31,FALSE)</f>
        <v>7.037280403</v>
      </c>
      <c r="Z16" s="3" t="str">
        <f>VLOOKUP($H16,MZA!$E$2:$BJ$112,32,FALSE)</f>
        <v>18.53037567</v>
      </c>
    </row>
    <row r="17" spans="1:26" x14ac:dyDescent="0.25">
      <c r="A17" t="s">
        <v>15</v>
      </c>
      <c r="B17" t="s">
        <v>261</v>
      </c>
      <c r="C17" t="s">
        <v>155</v>
      </c>
      <c r="D17" s="1" t="str">
        <f>VLOOKUP(Zuweisungen!C17,'DIN V 18599-10'!$A$2:$B$47,2,FALSE)</f>
        <v>37</v>
      </c>
      <c r="E17" t="s">
        <v>14</v>
      </c>
      <c r="F17" t="str">
        <f>VLOOKUP(Zuweisungen!E17,'SIA 2024'!$A$2:$C$46,3,FALSE)</f>
        <v>11.2</v>
      </c>
      <c r="G17" t="str">
        <f>VLOOKUP($B17,MZA!$D$2:$D$112,1,FALSE)</f>
        <v>Rehabilitation</v>
      </c>
      <c r="H17">
        <f>VLOOKUP($B17,MZA!$D$2:$E$112,2,FALSE)</f>
        <v>19</v>
      </c>
      <c r="I17" s="9" t="str">
        <f>VLOOKUP(Zuweisungen!D17,'DIN V 18599-10'!$B$2:$F$47,2,FALSE)</f>
        <v>70</v>
      </c>
      <c r="J17" s="9">
        <f>VLOOKUP(Zuweisungen!F17,'SIA 2024'!$C$2:$G$46,2,FALSE)</f>
        <v>120</v>
      </c>
      <c r="K17" s="23" t="str">
        <f>VLOOKUP($H17,MZA!$E$2:$BJ$112,57,FALSE)</f>
        <v>70.10277101</v>
      </c>
      <c r="L17" s="19" t="str">
        <f>VLOOKUP(Zuweisungen!D17,'DIN V 18599-10'!$B$2:$F$47,3,FALSE)</f>
        <v>4</v>
      </c>
      <c r="M17" s="19" t="str">
        <f>VLOOKUP(Zuweisungen!D17,'DIN V 18599-10'!$B$2:$F$47,4,FALSE)</f>
        <v>7</v>
      </c>
      <c r="N17" s="19" t="str">
        <f>VLOOKUP(Zuweisungen!D17,'DIN V 18599-10'!$B$2:$F$47,5,FALSE)</f>
        <v>10</v>
      </c>
      <c r="O17" s="10">
        <f>VLOOKUP(Zuweisungen!F17,'SIA 2024'!$C$2:$G$46,4,FALSE)</f>
        <v>1</v>
      </c>
      <c r="P17" s="11">
        <f>VLOOKUP(Zuweisungen!F17,'SIA 2024'!$C$2:$G$46,3,FALSE)</f>
        <v>2</v>
      </c>
      <c r="Q17" s="12">
        <f>VLOOKUP(Zuweisungen!F17,'SIA 2024'!$C$2:$G$46,5,FALSE)</f>
        <v>3</v>
      </c>
      <c r="R17" s="24" t="str">
        <f>VLOOKUP($H17,MZA!$E$2:$BJ$112,58,FALSE)</f>
        <v>5.52862363</v>
      </c>
      <c r="S17" s="24" t="str">
        <f>VLOOKUP($H17,MZA!$E$2:$BJ$112,58,FALSE)</f>
        <v>5.52862363</v>
      </c>
      <c r="T17" s="24" t="str">
        <f>VLOOKUP($H17,MZA!$E$2:$BJ$112,58,FALSE)</f>
        <v>5.52862363</v>
      </c>
      <c r="U17">
        <f>VLOOKUP(Zuweisungen!D17,'DIN V 18599-10'!$B$2:$H$47,6,FALSE)</f>
        <v>7</v>
      </c>
      <c r="V17">
        <f>VLOOKUP(Zuweisungen!D17,'DIN V 18599-10'!$B$2:$H$47,7,FALSE)</f>
        <v>18</v>
      </c>
      <c r="W17">
        <f>VLOOKUP(Zuweisungen!F17,'SIA 2024'!$C$2:$I$46,6,FALSE)</f>
        <v>7</v>
      </c>
      <c r="X17">
        <f>VLOOKUP(Zuweisungen!F17,'SIA 2024'!$C$2:$I$46,7,FALSE)</f>
        <v>23</v>
      </c>
      <c r="Y17" s="3" t="str">
        <f>VLOOKUP($H17,MZA!$E$2:$BJ$112,31,FALSE)</f>
        <v>4.502693806</v>
      </c>
      <c r="Z17" s="3" t="str">
        <f>VLOOKUP($H17,MZA!$E$2:$BJ$112,32,FALSE)</f>
        <v>20.19490133</v>
      </c>
    </row>
    <row r="18" spans="1:26" x14ac:dyDescent="0.25">
      <c r="A18" t="s">
        <v>15</v>
      </c>
      <c r="B18" t="s">
        <v>262</v>
      </c>
      <c r="C18" t="s">
        <v>106</v>
      </c>
      <c r="D18" s="1" t="str">
        <f>VLOOKUP(Zuweisungen!C18,'DIN V 18599-10'!$A$2:$B$47,2,FALSE)</f>
        <v>10</v>
      </c>
      <c r="E18" t="s">
        <v>2</v>
      </c>
      <c r="F18" t="str">
        <f>VLOOKUP(Zuweisungen!E18,'SIA 2024'!$A$2:$C$46,3,FALSE)</f>
        <v>8.1</v>
      </c>
      <c r="G18" t="str">
        <f>VLOOKUP($B18,MZA!$D$2:$D$112,1,FALSE)</f>
        <v>Kur und Genesung</v>
      </c>
      <c r="H18">
        <f>VLOOKUP($B18,MZA!$D$2:$E$112,2,FALSE)</f>
        <v>20</v>
      </c>
      <c r="I18" s="9">
        <f>VLOOKUP(Zuweisungen!D18,'DIN V 18599-10'!$B$2:$F$47,2,FALSE)</f>
        <v>70</v>
      </c>
      <c r="J18" s="9">
        <f>VLOOKUP(Zuweisungen!F18,'SIA 2024'!$C$2:$G$46,2,FALSE)</f>
        <v>70</v>
      </c>
      <c r="K18" s="23" t="str">
        <f>VLOOKUP($H18,MZA!$E$2:$BJ$112,57,FALSE)</f>
        <v>70.35922847</v>
      </c>
      <c r="L18" s="19" t="str">
        <f>VLOOKUP(Zuweisungen!D18,'DIN V 18599-10'!$B$2:$F$47,3,FALSE)</f>
        <v>2</v>
      </c>
      <c r="M18" s="19" t="str">
        <f>VLOOKUP(Zuweisungen!D18,'DIN V 18599-10'!$B$2:$F$47,4,FALSE)</f>
        <v>4</v>
      </c>
      <c r="N18" s="19" t="str">
        <f>VLOOKUP(Zuweisungen!D18,'DIN V 18599-10'!$B$2:$F$47,5,FALSE)</f>
        <v>6</v>
      </c>
      <c r="O18" s="10">
        <f>VLOOKUP(Zuweisungen!F18,'SIA 2024'!$C$2:$G$46,4,FALSE)</f>
        <v>2</v>
      </c>
      <c r="P18" s="11">
        <f>VLOOKUP(Zuweisungen!F18,'SIA 2024'!$C$2:$G$46,3,FALSE)</f>
        <v>4</v>
      </c>
      <c r="Q18" s="12">
        <f>VLOOKUP(Zuweisungen!F18,'SIA 2024'!$C$2:$G$46,5,FALSE)</f>
        <v>6</v>
      </c>
      <c r="R18" s="24" t="str">
        <f>VLOOKUP($H18,MZA!$E$2:$BJ$112,58,FALSE)</f>
        <v>5.441645846</v>
      </c>
      <c r="S18" s="24" t="str">
        <f>VLOOKUP($H18,MZA!$E$2:$BJ$112,58,FALSE)</f>
        <v>5.441645846</v>
      </c>
      <c r="T18" s="24" t="str">
        <f>VLOOKUP($H18,MZA!$E$2:$BJ$112,58,FALSE)</f>
        <v>5.441645846</v>
      </c>
      <c r="U18">
        <f>VLOOKUP(Zuweisungen!D18,'DIN V 18599-10'!$B$2:$H$47,6,FALSE)</f>
        <v>0</v>
      </c>
      <c r="V18">
        <f>VLOOKUP(Zuweisungen!D18,'DIN V 18599-10'!$B$2:$H$47,7,FALSE)</f>
        <v>24</v>
      </c>
      <c r="W18">
        <f>VLOOKUP(Zuweisungen!F18,'SIA 2024'!$C$2:$I$46,6,FALSE)</f>
        <v>0</v>
      </c>
      <c r="X18">
        <f>VLOOKUP(Zuweisungen!F18,'SIA 2024'!$C$2:$I$46,7,FALSE)</f>
        <v>24</v>
      </c>
      <c r="Y18" s="3" t="str">
        <f>VLOOKUP($H18,MZA!$E$2:$BJ$112,31,FALSE)</f>
        <v>5.73586135</v>
      </c>
      <c r="Z18" s="3" t="str">
        <f>VLOOKUP($H18,MZA!$E$2:$BJ$112,32,FALSE)</f>
        <v>18.50347561</v>
      </c>
    </row>
    <row r="19" spans="1:26" x14ac:dyDescent="0.25">
      <c r="A19" t="s">
        <v>15</v>
      </c>
      <c r="B19" t="s">
        <v>263</v>
      </c>
      <c r="C19" t="s">
        <v>158</v>
      </c>
      <c r="D19" s="1" t="str">
        <f>VLOOKUP(Zuweisungen!C19,'DIN V 18599-10'!$A$2:$B$47,2,FALSE)</f>
        <v>40</v>
      </c>
      <c r="E19" t="s">
        <v>69</v>
      </c>
      <c r="F19" t="str">
        <f>VLOOKUP(Zuweisungen!E19,'SIA 2024'!$A$2:$C$46,3,FALSE)</f>
        <v>8.3</v>
      </c>
      <c r="G19" t="str">
        <f>VLOOKUP($B19,MZA!$D$2:$D$112,1,FALSE)</f>
        <v>Medizinisches Versorgungszentrum, Ärztehaus</v>
      </c>
      <c r="H19">
        <f>VLOOKUP($B19,MZA!$D$2:$E$112,2,FALSE)</f>
        <v>21</v>
      </c>
      <c r="I19" s="9" t="str">
        <f>VLOOKUP(Zuweisungen!D19,'DIN V 18599-10'!$B$2:$F$47,2,FALSE)</f>
        <v>70</v>
      </c>
      <c r="J19" s="9">
        <f>VLOOKUP(Zuweisungen!F19,'SIA 2024'!$C$2:$G$46,2,FALSE)</f>
        <v>70</v>
      </c>
      <c r="K19" s="23" t="str">
        <f>VLOOKUP($H19,MZA!$E$2:$BJ$112,57,FALSE)</f>
        <v>70.79737096</v>
      </c>
      <c r="L19" s="19" t="str">
        <f>VLOOKUP(Zuweisungen!D19,'DIN V 18599-10'!$B$2:$F$47,3,FALSE)</f>
        <v>3</v>
      </c>
      <c r="M19" s="19" t="str">
        <f>VLOOKUP(Zuweisungen!D19,'DIN V 18599-10'!$B$2:$F$47,4,FALSE)</f>
        <v>5</v>
      </c>
      <c r="N19" s="19" t="str">
        <f>VLOOKUP(Zuweisungen!D19,'DIN V 18599-10'!$B$2:$F$47,5,FALSE)</f>
        <v>7</v>
      </c>
      <c r="O19" s="10">
        <f>VLOOKUP(Zuweisungen!F19,'SIA 2024'!$C$2:$G$46,4,FALSE)</f>
        <v>10</v>
      </c>
      <c r="P19" s="11">
        <f>VLOOKUP(Zuweisungen!F19,'SIA 2024'!$C$2:$G$46,3,FALSE)</f>
        <v>20</v>
      </c>
      <c r="Q19" s="12">
        <f>VLOOKUP(Zuweisungen!F19,'SIA 2024'!$C$2:$G$46,5,FALSE)</f>
        <v>30</v>
      </c>
      <c r="R19" s="24" t="str">
        <f>VLOOKUP($H19,MZA!$E$2:$BJ$112,58,FALSE)</f>
        <v>4.027274337</v>
      </c>
      <c r="S19" s="24" t="str">
        <f>VLOOKUP($H19,MZA!$E$2:$BJ$112,58,FALSE)</f>
        <v>4.027274337</v>
      </c>
      <c r="T19" s="24" t="str">
        <f>VLOOKUP($H19,MZA!$E$2:$BJ$112,58,FALSE)</f>
        <v>4.027274337</v>
      </c>
      <c r="U19">
        <f>VLOOKUP(Zuweisungen!D19,'DIN V 18599-10'!$B$2:$H$47,6,FALSE)</f>
        <v>8</v>
      </c>
      <c r="V19">
        <f>VLOOKUP(Zuweisungen!D19,'DIN V 18599-10'!$B$2:$H$47,7,FALSE)</f>
        <v>18</v>
      </c>
      <c r="W19">
        <f>VLOOKUP(Zuweisungen!F19,'SIA 2024'!$C$2:$I$46,6,FALSE)</f>
        <v>7</v>
      </c>
      <c r="X19">
        <f>VLOOKUP(Zuweisungen!F19,'SIA 2024'!$C$2:$I$46,7,FALSE)</f>
        <v>18</v>
      </c>
      <c r="Y19" s="3" t="str">
        <f>VLOOKUP($H19,MZA!$E$2:$BJ$112,31,FALSE)</f>
        <v>7.037280403</v>
      </c>
      <c r="Z19" s="3" t="str">
        <f>VLOOKUP($H19,MZA!$E$2:$BJ$112,32,FALSE)</f>
        <v>18.53037567</v>
      </c>
    </row>
    <row r="20" spans="1:26" x14ac:dyDescent="0.25">
      <c r="A20" t="s">
        <v>15</v>
      </c>
      <c r="B20" t="s">
        <v>264</v>
      </c>
      <c r="C20" t="s">
        <v>158</v>
      </c>
      <c r="D20" s="1" t="str">
        <f>VLOOKUP(Zuweisungen!C20,'DIN V 18599-10'!$A$2:$B$47,2,FALSE)</f>
        <v>40</v>
      </c>
      <c r="E20" t="s">
        <v>69</v>
      </c>
      <c r="F20" t="str">
        <f>VLOOKUP(Zuweisungen!E20,'SIA 2024'!$A$2:$C$46,3,FALSE)</f>
        <v>8.3</v>
      </c>
      <c r="G20" t="str">
        <f>VLOOKUP($B20,MZA!$D$2:$D$112,1,FALSE)</f>
        <v>Arztpraxis</v>
      </c>
      <c r="H20">
        <f>VLOOKUP($B20,MZA!$D$2:$E$112,2,FALSE)</f>
        <v>22</v>
      </c>
      <c r="I20" s="9" t="str">
        <f>VLOOKUP(Zuweisungen!D20,'DIN V 18599-10'!$B$2:$F$47,2,FALSE)</f>
        <v>70</v>
      </c>
      <c r="J20" s="9">
        <f>VLOOKUP(Zuweisungen!F20,'SIA 2024'!$C$2:$G$46,2,FALSE)</f>
        <v>70</v>
      </c>
      <c r="K20" s="23" t="str">
        <f>VLOOKUP($H20,MZA!$E$2:$BJ$112,57,FALSE)</f>
        <v>70.79737096</v>
      </c>
      <c r="L20" s="19" t="str">
        <f>VLOOKUP(Zuweisungen!D20,'DIN V 18599-10'!$B$2:$F$47,3,FALSE)</f>
        <v>3</v>
      </c>
      <c r="M20" s="19" t="str">
        <f>VLOOKUP(Zuweisungen!D20,'DIN V 18599-10'!$B$2:$F$47,4,FALSE)</f>
        <v>5</v>
      </c>
      <c r="N20" s="19" t="str">
        <f>VLOOKUP(Zuweisungen!D20,'DIN V 18599-10'!$B$2:$F$47,5,FALSE)</f>
        <v>7</v>
      </c>
      <c r="O20" s="10">
        <f>VLOOKUP(Zuweisungen!F20,'SIA 2024'!$C$2:$G$46,4,FALSE)</f>
        <v>10</v>
      </c>
      <c r="P20" s="11">
        <f>VLOOKUP(Zuweisungen!F20,'SIA 2024'!$C$2:$G$46,3,FALSE)</f>
        <v>20</v>
      </c>
      <c r="Q20" s="12">
        <f>VLOOKUP(Zuweisungen!F20,'SIA 2024'!$C$2:$G$46,5,FALSE)</f>
        <v>30</v>
      </c>
      <c r="R20" s="24" t="str">
        <f>VLOOKUP($H20,MZA!$E$2:$BJ$112,58,FALSE)</f>
        <v>4.027274337</v>
      </c>
      <c r="S20" s="24" t="str">
        <f>VLOOKUP($H20,MZA!$E$2:$BJ$112,58,FALSE)</f>
        <v>4.027274337</v>
      </c>
      <c r="T20" s="24" t="str">
        <f>VLOOKUP($H20,MZA!$E$2:$BJ$112,58,FALSE)</f>
        <v>4.027274337</v>
      </c>
      <c r="U20">
        <f>VLOOKUP(Zuweisungen!D20,'DIN V 18599-10'!$B$2:$H$47,6,FALSE)</f>
        <v>8</v>
      </c>
      <c r="V20">
        <f>VLOOKUP(Zuweisungen!D20,'DIN V 18599-10'!$B$2:$H$47,7,FALSE)</f>
        <v>18</v>
      </c>
      <c r="W20">
        <f>VLOOKUP(Zuweisungen!F20,'SIA 2024'!$C$2:$I$46,6,FALSE)</f>
        <v>7</v>
      </c>
      <c r="X20">
        <f>VLOOKUP(Zuweisungen!F20,'SIA 2024'!$C$2:$I$46,7,FALSE)</f>
        <v>18</v>
      </c>
      <c r="Y20" s="3" t="str">
        <f>VLOOKUP($H20,MZA!$E$2:$BJ$112,31,FALSE)</f>
        <v>7.037280403</v>
      </c>
      <c r="Z20" s="3" t="str">
        <f>VLOOKUP($H20,MZA!$E$2:$BJ$112,32,FALSE)</f>
        <v>18.53037567</v>
      </c>
    </row>
    <row r="21" spans="1:26" x14ac:dyDescent="0.25">
      <c r="A21" t="s">
        <v>15</v>
      </c>
      <c r="B21" t="s">
        <v>265</v>
      </c>
      <c r="C21" t="s">
        <v>158</v>
      </c>
      <c r="D21" s="1" t="str">
        <f>VLOOKUP(Zuweisungen!C21,'DIN V 18599-10'!$A$2:$B$47,2,FALSE)</f>
        <v>40</v>
      </c>
      <c r="E21" t="s">
        <v>69</v>
      </c>
      <c r="F21" t="str">
        <f>VLOOKUP(Zuweisungen!E21,'SIA 2024'!$A$2:$C$46,3,FALSE)</f>
        <v>8.3</v>
      </c>
      <c r="G21" t="str">
        <f>VLOOKUP($B21,MZA!$D$2:$D$112,1,FALSE)</f>
        <v>Notfallpraxis</v>
      </c>
      <c r="H21">
        <f>VLOOKUP($B21,MZA!$D$2:$E$112,2,FALSE)</f>
        <v>23</v>
      </c>
      <c r="I21" s="9" t="str">
        <f>VLOOKUP(Zuweisungen!D21,'DIN V 18599-10'!$B$2:$F$47,2,FALSE)</f>
        <v>70</v>
      </c>
      <c r="J21" s="9">
        <f>VLOOKUP(Zuweisungen!F21,'SIA 2024'!$C$2:$G$46,2,FALSE)</f>
        <v>70</v>
      </c>
      <c r="K21" s="23" t="str">
        <f>VLOOKUP($H21,MZA!$E$2:$BJ$112,57,FALSE)</f>
        <v>70.79737096</v>
      </c>
      <c r="L21" s="19" t="str">
        <f>VLOOKUP(Zuweisungen!D21,'DIN V 18599-10'!$B$2:$F$47,3,FALSE)</f>
        <v>3</v>
      </c>
      <c r="M21" s="19" t="str">
        <f>VLOOKUP(Zuweisungen!D21,'DIN V 18599-10'!$B$2:$F$47,4,FALSE)</f>
        <v>5</v>
      </c>
      <c r="N21" s="19" t="str">
        <f>VLOOKUP(Zuweisungen!D21,'DIN V 18599-10'!$B$2:$F$47,5,FALSE)</f>
        <v>7</v>
      </c>
      <c r="O21" s="10">
        <f>VLOOKUP(Zuweisungen!F21,'SIA 2024'!$C$2:$G$46,4,FALSE)</f>
        <v>10</v>
      </c>
      <c r="P21" s="11">
        <f>VLOOKUP(Zuweisungen!F21,'SIA 2024'!$C$2:$G$46,3,FALSE)</f>
        <v>20</v>
      </c>
      <c r="Q21" s="12">
        <f>VLOOKUP(Zuweisungen!F21,'SIA 2024'!$C$2:$G$46,5,FALSE)</f>
        <v>30</v>
      </c>
      <c r="R21" s="24" t="str">
        <f>VLOOKUP($H21,MZA!$E$2:$BJ$112,58,FALSE)</f>
        <v>4.027274337</v>
      </c>
      <c r="S21" s="24" t="str">
        <f>VLOOKUP($H21,MZA!$E$2:$BJ$112,58,FALSE)</f>
        <v>4.027274337</v>
      </c>
      <c r="T21" s="24" t="str">
        <f>VLOOKUP($H21,MZA!$E$2:$BJ$112,58,FALSE)</f>
        <v>4.027274337</v>
      </c>
      <c r="U21">
        <f>VLOOKUP(Zuweisungen!D21,'DIN V 18599-10'!$B$2:$H$47,6,FALSE)</f>
        <v>8</v>
      </c>
      <c r="V21">
        <f>VLOOKUP(Zuweisungen!D21,'DIN V 18599-10'!$B$2:$H$47,7,FALSE)</f>
        <v>18</v>
      </c>
      <c r="W21">
        <f>VLOOKUP(Zuweisungen!F21,'SIA 2024'!$C$2:$I$46,6,FALSE)</f>
        <v>7</v>
      </c>
      <c r="X21">
        <f>VLOOKUP(Zuweisungen!F21,'SIA 2024'!$C$2:$I$46,7,FALSE)</f>
        <v>18</v>
      </c>
      <c r="Y21" s="3" t="str">
        <f>VLOOKUP($H21,MZA!$E$2:$BJ$112,31,FALSE)</f>
        <v>7.037280403</v>
      </c>
      <c r="Z21" s="3" t="str">
        <f>VLOOKUP($H21,MZA!$E$2:$BJ$112,32,FALSE)</f>
        <v>18.53037567</v>
      </c>
    </row>
    <row r="22" spans="1:26" x14ac:dyDescent="0.25">
      <c r="A22" t="s">
        <v>15</v>
      </c>
      <c r="B22" t="s">
        <v>266</v>
      </c>
      <c r="C22" t="s">
        <v>106</v>
      </c>
      <c r="D22" s="1" t="str">
        <f>VLOOKUP(Zuweisungen!C22,'DIN V 18599-10'!$A$2:$B$47,2,FALSE)</f>
        <v>10</v>
      </c>
      <c r="E22" t="s">
        <v>2</v>
      </c>
      <c r="F22" t="str">
        <f>VLOOKUP(Zuweisungen!E22,'SIA 2024'!$A$2:$C$46,3,FALSE)</f>
        <v>8.1</v>
      </c>
      <c r="G22" t="str">
        <f>VLOOKUP($B22,MZA!$D$2:$D$112,1,FALSE)</f>
        <v>Altenheim/Altenpflegeheim (ohne eigene Haushaltsführung der Bewohner/innen)</v>
      </c>
      <c r="H22">
        <f>VLOOKUP($B22,MZA!$D$2:$E$112,2,FALSE)</f>
        <v>24</v>
      </c>
      <c r="I22" s="9">
        <f>VLOOKUP(Zuweisungen!D22,'DIN V 18599-10'!$B$2:$F$47,2,FALSE)</f>
        <v>70</v>
      </c>
      <c r="J22" s="9">
        <f>VLOOKUP(Zuweisungen!F22,'SIA 2024'!$C$2:$G$46,2,FALSE)</f>
        <v>70</v>
      </c>
      <c r="K22" s="23" t="str">
        <f>VLOOKUP($H22,MZA!$E$2:$BJ$112,57,FALSE)</f>
        <v>70.69070337</v>
      </c>
      <c r="L22" s="19" t="str">
        <f>VLOOKUP(Zuweisungen!D22,'DIN V 18599-10'!$B$2:$F$47,3,FALSE)</f>
        <v>2</v>
      </c>
      <c r="M22" s="19" t="str">
        <f>VLOOKUP(Zuweisungen!D22,'DIN V 18599-10'!$B$2:$F$47,4,FALSE)</f>
        <v>4</v>
      </c>
      <c r="N22" s="19" t="str">
        <f>VLOOKUP(Zuweisungen!D22,'DIN V 18599-10'!$B$2:$F$47,5,FALSE)</f>
        <v>6</v>
      </c>
      <c r="O22" s="10">
        <f>VLOOKUP(Zuweisungen!F22,'SIA 2024'!$C$2:$G$46,4,FALSE)</f>
        <v>2</v>
      </c>
      <c r="P22" s="11">
        <f>VLOOKUP(Zuweisungen!F22,'SIA 2024'!$C$2:$G$46,3,FALSE)</f>
        <v>4</v>
      </c>
      <c r="Q22" s="12">
        <f>VLOOKUP(Zuweisungen!F22,'SIA 2024'!$C$2:$G$46,5,FALSE)</f>
        <v>6</v>
      </c>
      <c r="R22" s="24" t="str">
        <f>VLOOKUP($H22,MZA!$E$2:$BJ$112,58,FALSE)</f>
        <v>4.015939192</v>
      </c>
      <c r="S22" s="24" t="str">
        <f>VLOOKUP($H22,MZA!$E$2:$BJ$112,58,FALSE)</f>
        <v>4.015939192</v>
      </c>
      <c r="T22" s="24" t="str">
        <f>VLOOKUP($H22,MZA!$E$2:$BJ$112,58,FALSE)</f>
        <v>4.015939192</v>
      </c>
      <c r="U22">
        <f>VLOOKUP(Zuweisungen!D22,'DIN V 18599-10'!$B$2:$H$47,6,FALSE)</f>
        <v>0</v>
      </c>
      <c r="V22">
        <f>VLOOKUP(Zuweisungen!D22,'DIN V 18599-10'!$B$2:$H$47,7,FALSE)</f>
        <v>24</v>
      </c>
      <c r="W22">
        <f>VLOOKUP(Zuweisungen!F22,'SIA 2024'!$C$2:$I$46,6,FALSE)</f>
        <v>0</v>
      </c>
      <c r="X22">
        <f>VLOOKUP(Zuweisungen!F22,'SIA 2024'!$C$2:$I$46,7,FALSE)</f>
        <v>24</v>
      </c>
      <c r="Y22" s="3" t="str">
        <f>VLOOKUP($H22,MZA!$E$2:$BJ$112,31,FALSE)</f>
        <v>5.43296958</v>
      </c>
      <c r="Z22" s="3" t="str">
        <f>VLOOKUP($H22,MZA!$E$2:$BJ$112,32,FALSE)</f>
        <v>19.73586009</v>
      </c>
    </row>
    <row r="23" spans="1:26" x14ac:dyDescent="0.25">
      <c r="A23" t="s">
        <v>15</v>
      </c>
      <c r="B23" t="s">
        <v>267</v>
      </c>
      <c r="C23" t="s">
        <v>106</v>
      </c>
      <c r="D23" s="1" t="str">
        <f>VLOOKUP(Zuweisungen!C23,'DIN V 18599-10'!$A$2:$B$47,2,FALSE)</f>
        <v>10</v>
      </c>
      <c r="E23" t="s">
        <v>2</v>
      </c>
      <c r="F23" t="str">
        <f>VLOOKUP(Zuweisungen!E23,'SIA 2024'!$A$2:$C$46,3,FALSE)</f>
        <v>8.1</v>
      </c>
      <c r="G23" t="str">
        <f>VLOOKUP($B23,MZA!$D$2:$D$112,1,FALSE)</f>
        <v>Pflegeheim für Behinderte (ohne eigene Haushaltsführung der Bewohner/innen)</v>
      </c>
      <c r="H23">
        <f>VLOOKUP($B23,MZA!$D$2:$E$112,2,FALSE)</f>
        <v>25</v>
      </c>
      <c r="I23" s="9">
        <f>VLOOKUP(Zuweisungen!D23,'DIN V 18599-10'!$B$2:$F$47,2,FALSE)</f>
        <v>70</v>
      </c>
      <c r="J23" s="9">
        <f>VLOOKUP(Zuweisungen!F23,'SIA 2024'!$C$2:$G$46,2,FALSE)</f>
        <v>70</v>
      </c>
      <c r="K23" s="23" t="str">
        <f>VLOOKUP($H23,MZA!$E$2:$BJ$112,57,FALSE)</f>
        <v>70.69070337</v>
      </c>
      <c r="L23" s="19" t="str">
        <f>VLOOKUP(Zuweisungen!D23,'DIN V 18599-10'!$B$2:$F$47,3,FALSE)</f>
        <v>2</v>
      </c>
      <c r="M23" s="19" t="str">
        <f>VLOOKUP(Zuweisungen!D23,'DIN V 18599-10'!$B$2:$F$47,4,FALSE)</f>
        <v>4</v>
      </c>
      <c r="N23" s="19" t="str">
        <f>VLOOKUP(Zuweisungen!D23,'DIN V 18599-10'!$B$2:$F$47,5,FALSE)</f>
        <v>6</v>
      </c>
      <c r="O23" s="10">
        <f>VLOOKUP(Zuweisungen!F23,'SIA 2024'!$C$2:$G$46,4,FALSE)</f>
        <v>2</v>
      </c>
      <c r="P23" s="11">
        <f>VLOOKUP(Zuweisungen!F23,'SIA 2024'!$C$2:$G$46,3,FALSE)</f>
        <v>4</v>
      </c>
      <c r="Q23" s="12">
        <f>VLOOKUP(Zuweisungen!F23,'SIA 2024'!$C$2:$G$46,5,FALSE)</f>
        <v>6</v>
      </c>
      <c r="R23" s="24" t="str">
        <f>VLOOKUP($H23,MZA!$E$2:$BJ$112,58,FALSE)</f>
        <v>4.015939192</v>
      </c>
      <c r="S23" s="24" t="str">
        <f>VLOOKUP($H23,MZA!$E$2:$BJ$112,58,FALSE)</f>
        <v>4.015939192</v>
      </c>
      <c r="T23" s="24" t="str">
        <f>VLOOKUP($H23,MZA!$E$2:$BJ$112,58,FALSE)</f>
        <v>4.015939192</v>
      </c>
      <c r="U23">
        <f>VLOOKUP(Zuweisungen!D23,'DIN V 18599-10'!$B$2:$H$47,6,FALSE)</f>
        <v>0</v>
      </c>
      <c r="V23">
        <f>VLOOKUP(Zuweisungen!D23,'DIN V 18599-10'!$B$2:$H$47,7,FALSE)</f>
        <v>24</v>
      </c>
      <c r="W23">
        <f>VLOOKUP(Zuweisungen!F23,'SIA 2024'!$C$2:$I$46,6,FALSE)</f>
        <v>0</v>
      </c>
      <c r="X23">
        <f>VLOOKUP(Zuweisungen!F23,'SIA 2024'!$C$2:$I$46,7,FALSE)</f>
        <v>24</v>
      </c>
      <c r="Y23" s="3" t="str">
        <f>VLOOKUP($H23,MZA!$E$2:$BJ$112,31,FALSE)</f>
        <v>5.43296958</v>
      </c>
      <c r="Z23" s="3" t="str">
        <f>VLOOKUP($H23,MZA!$E$2:$BJ$112,32,FALSE)</f>
        <v>19.73586009</v>
      </c>
    </row>
    <row r="24" spans="1:26" x14ac:dyDescent="0.25">
      <c r="A24" t="s">
        <v>15</v>
      </c>
      <c r="B24" t="s">
        <v>268</v>
      </c>
      <c r="C24" t="s">
        <v>106</v>
      </c>
      <c r="D24" s="1" t="str">
        <f>VLOOKUP(Zuweisungen!C24,'DIN V 18599-10'!$A$2:$B$47,2,FALSE)</f>
        <v>10</v>
      </c>
      <c r="E24" t="s">
        <v>2</v>
      </c>
      <c r="F24" t="str">
        <f>VLOOKUP(Zuweisungen!E24,'SIA 2024'!$A$2:$C$46,3,FALSE)</f>
        <v>8.1</v>
      </c>
      <c r="G24" t="str">
        <f>VLOOKUP($B24,MZA!$D$2:$D$112,1,FALSE)</f>
        <v>Psychiatrische Pflegeheim (ohne eigene Haushaltsführung der Bewohner/innen)</v>
      </c>
      <c r="H24">
        <f>VLOOKUP($B24,MZA!$D$2:$E$112,2,FALSE)</f>
        <v>26</v>
      </c>
      <c r="I24" s="9">
        <f>VLOOKUP(Zuweisungen!D24,'DIN V 18599-10'!$B$2:$F$47,2,FALSE)</f>
        <v>70</v>
      </c>
      <c r="J24" s="9">
        <f>VLOOKUP(Zuweisungen!F24,'SIA 2024'!$C$2:$G$46,2,FALSE)</f>
        <v>70</v>
      </c>
      <c r="K24" s="23" t="str">
        <f>VLOOKUP($H24,MZA!$E$2:$BJ$112,57,FALSE)</f>
        <v>70.69070337</v>
      </c>
      <c r="L24" s="19" t="str">
        <f>VLOOKUP(Zuweisungen!D24,'DIN V 18599-10'!$B$2:$F$47,3,FALSE)</f>
        <v>2</v>
      </c>
      <c r="M24" s="19" t="str">
        <f>VLOOKUP(Zuweisungen!D24,'DIN V 18599-10'!$B$2:$F$47,4,FALSE)</f>
        <v>4</v>
      </c>
      <c r="N24" s="19" t="str">
        <f>VLOOKUP(Zuweisungen!D24,'DIN V 18599-10'!$B$2:$F$47,5,FALSE)</f>
        <v>6</v>
      </c>
      <c r="O24" s="10">
        <f>VLOOKUP(Zuweisungen!F24,'SIA 2024'!$C$2:$G$46,4,FALSE)</f>
        <v>2</v>
      </c>
      <c r="P24" s="11">
        <f>VLOOKUP(Zuweisungen!F24,'SIA 2024'!$C$2:$G$46,3,FALSE)</f>
        <v>4</v>
      </c>
      <c r="Q24" s="12">
        <f>VLOOKUP(Zuweisungen!F24,'SIA 2024'!$C$2:$G$46,5,FALSE)</f>
        <v>6</v>
      </c>
      <c r="R24" s="24" t="str">
        <f>VLOOKUP($H24,MZA!$E$2:$BJ$112,58,FALSE)</f>
        <v>4.015939192</v>
      </c>
      <c r="S24" s="24" t="str">
        <f>VLOOKUP($H24,MZA!$E$2:$BJ$112,58,FALSE)</f>
        <v>4.015939192</v>
      </c>
      <c r="T24" s="24" t="str">
        <f>VLOOKUP($H24,MZA!$E$2:$BJ$112,58,FALSE)</f>
        <v>4.015939192</v>
      </c>
      <c r="U24">
        <f>VLOOKUP(Zuweisungen!D24,'DIN V 18599-10'!$B$2:$H$47,6,FALSE)</f>
        <v>0</v>
      </c>
      <c r="V24">
        <f>VLOOKUP(Zuweisungen!D24,'DIN V 18599-10'!$B$2:$H$47,7,FALSE)</f>
        <v>24</v>
      </c>
      <c r="W24">
        <f>VLOOKUP(Zuweisungen!F24,'SIA 2024'!$C$2:$I$46,6,FALSE)</f>
        <v>0</v>
      </c>
      <c r="X24">
        <f>VLOOKUP(Zuweisungen!F24,'SIA 2024'!$C$2:$I$46,7,FALSE)</f>
        <v>24</v>
      </c>
      <c r="Y24" s="3" t="str">
        <f>VLOOKUP($H24,MZA!$E$2:$BJ$112,31,FALSE)</f>
        <v>5.43296958</v>
      </c>
      <c r="Z24" s="3" t="str">
        <f>VLOOKUP($H24,MZA!$E$2:$BJ$112,32,FALSE)</f>
        <v>19.73586009</v>
      </c>
    </row>
    <row r="25" spans="1:26" x14ac:dyDescent="0.25">
      <c r="A25" t="s">
        <v>15</v>
      </c>
      <c r="B25" t="s">
        <v>269</v>
      </c>
      <c r="C25" t="s">
        <v>106</v>
      </c>
      <c r="D25" s="1" t="str">
        <f>VLOOKUP(Zuweisungen!C25,'DIN V 18599-10'!$A$2:$B$47,2,FALSE)</f>
        <v>10</v>
      </c>
      <c r="E25" t="s">
        <v>2</v>
      </c>
      <c r="F25" t="str">
        <f>VLOOKUP(Zuweisungen!E25,'SIA 2024'!$A$2:$C$46,3,FALSE)</f>
        <v>8.1</v>
      </c>
      <c r="G25" t="str">
        <f>VLOOKUP($B25,MZA!$D$2:$D$112,1,FALSE)</f>
        <v>Tagespflegeeinrichtung</v>
      </c>
      <c r="H25">
        <f>VLOOKUP($B25,MZA!$D$2:$E$112,2,FALSE)</f>
        <v>27</v>
      </c>
      <c r="I25" s="9">
        <f>VLOOKUP(Zuweisungen!D25,'DIN V 18599-10'!$B$2:$F$47,2,FALSE)</f>
        <v>70</v>
      </c>
      <c r="J25" s="9">
        <f>VLOOKUP(Zuweisungen!F25,'SIA 2024'!$C$2:$G$46,2,FALSE)</f>
        <v>70</v>
      </c>
      <c r="K25" s="23" t="str">
        <f>VLOOKUP($H25,MZA!$E$2:$BJ$112,57,FALSE)</f>
        <v>70.69070337</v>
      </c>
      <c r="L25" s="19" t="str">
        <f>VLOOKUP(Zuweisungen!D25,'DIN V 18599-10'!$B$2:$F$47,3,FALSE)</f>
        <v>2</v>
      </c>
      <c r="M25" s="19" t="str">
        <f>VLOOKUP(Zuweisungen!D25,'DIN V 18599-10'!$B$2:$F$47,4,FALSE)</f>
        <v>4</v>
      </c>
      <c r="N25" s="19" t="str">
        <f>VLOOKUP(Zuweisungen!D25,'DIN V 18599-10'!$B$2:$F$47,5,FALSE)</f>
        <v>6</v>
      </c>
      <c r="O25" s="10">
        <f>VLOOKUP(Zuweisungen!F25,'SIA 2024'!$C$2:$G$46,4,FALSE)</f>
        <v>2</v>
      </c>
      <c r="P25" s="11">
        <f>VLOOKUP(Zuweisungen!F25,'SIA 2024'!$C$2:$G$46,3,FALSE)</f>
        <v>4</v>
      </c>
      <c r="Q25" s="12">
        <f>VLOOKUP(Zuweisungen!F25,'SIA 2024'!$C$2:$G$46,5,FALSE)</f>
        <v>6</v>
      </c>
      <c r="R25" s="24" t="str">
        <f>VLOOKUP($H25,MZA!$E$2:$BJ$112,58,FALSE)</f>
        <v>4.015939192</v>
      </c>
      <c r="S25" s="24" t="str">
        <f>VLOOKUP($H25,MZA!$E$2:$BJ$112,58,FALSE)</f>
        <v>4.015939192</v>
      </c>
      <c r="T25" s="24" t="str">
        <f>VLOOKUP($H25,MZA!$E$2:$BJ$112,58,FALSE)</f>
        <v>4.015939192</v>
      </c>
      <c r="U25">
        <f>VLOOKUP(Zuweisungen!D25,'DIN V 18599-10'!$B$2:$H$47,6,FALSE)</f>
        <v>0</v>
      </c>
      <c r="V25">
        <f>VLOOKUP(Zuweisungen!D25,'DIN V 18599-10'!$B$2:$H$47,7,FALSE)</f>
        <v>24</v>
      </c>
      <c r="W25">
        <f>VLOOKUP(Zuweisungen!F25,'SIA 2024'!$C$2:$I$46,6,FALSE)</f>
        <v>0</v>
      </c>
      <c r="X25">
        <f>VLOOKUP(Zuweisungen!F25,'SIA 2024'!$C$2:$I$46,7,FALSE)</f>
        <v>24</v>
      </c>
      <c r="Y25" s="3" t="str">
        <f>VLOOKUP($H25,MZA!$E$2:$BJ$112,31,FALSE)</f>
        <v>5.43296958</v>
      </c>
      <c r="Z25" s="3" t="str">
        <f>VLOOKUP($H25,MZA!$E$2:$BJ$112,32,FALSE)</f>
        <v>19.73586009</v>
      </c>
    </row>
    <row r="26" spans="1:26" x14ac:dyDescent="0.25">
      <c r="A26" t="s">
        <v>15</v>
      </c>
      <c r="B26" t="s">
        <v>270</v>
      </c>
      <c r="C26" t="s">
        <v>106</v>
      </c>
      <c r="D26" s="1" t="str">
        <f>VLOOKUP(Zuweisungen!C26,'DIN V 18599-10'!$A$2:$B$47,2,FALSE)</f>
        <v>10</v>
      </c>
      <c r="E26" t="s">
        <v>2</v>
      </c>
      <c r="F26" t="str">
        <f>VLOOKUP(Zuweisungen!E26,'SIA 2024'!$A$2:$C$46,3,FALSE)</f>
        <v>8.1</v>
      </c>
      <c r="G26" t="str">
        <f>VLOOKUP($B26,MZA!$D$2:$D$112,1,FALSE)</f>
        <v>Hospiz</v>
      </c>
      <c r="H26">
        <f>VLOOKUP($B26,MZA!$D$2:$E$112,2,FALSE)</f>
        <v>28</v>
      </c>
      <c r="I26" s="9">
        <f>VLOOKUP(Zuweisungen!D26,'DIN V 18599-10'!$B$2:$F$47,2,FALSE)</f>
        <v>70</v>
      </c>
      <c r="J26" s="9">
        <f>VLOOKUP(Zuweisungen!F26,'SIA 2024'!$C$2:$G$46,2,FALSE)</f>
        <v>70</v>
      </c>
      <c r="K26" s="23" t="str">
        <f>VLOOKUP($H26,MZA!$E$2:$BJ$112,57,FALSE)</f>
        <v>70.69070337</v>
      </c>
      <c r="L26" s="19" t="str">
        <f>VLOOKUP(Zuweisungen!D26,'DIN V 18599-10'!$B$2:$F$47,3,FALSE)</f>
        <v>2</v>
      </c>
      <c r="M26" s="19" t="str">
        <f>VLOOKUP(Zuweisungen!D26,'DIN V 18599-10'!$B$2:$F$47,4,FALSE)</f>
        <v>4</v>
      </c>
      <c r="N26" s="19" t="str">
        <f>VLOOKUP(Zuweisungen!D26,'DIN V 18599-10'!$B$2:$F$47,5,FALSE)</f>
        <v>6</v>
      </c>
      <c r="O26" s="10">
        <f>VLOOKUP(Zuweisungen!F26,'SIA 2024'!$C$2:$G$46,4,FALSE)</f>
        <v>2</v>
      </c>
      <c r="P26" s="11">
        <f>VLOOKUP(Zuweisungen!F26,'SIA 2024'!$C$2:$G$46,3,FALSE)</f>
        <v>4</v>
      </c>
      <c r="Q26" s="12">
        <f>VLOOKUP(Zuweisungen!F26,'SIA 2024'!$C$2:$G$46,5,FALSE)</f>
        <v>6</v>
      </c>
      <c r="R26" s="24" t="str">
        <f>VLOOKUP($H26,MZA!$E$2:$BJ$112,58,FALSE)</f>
        <v>4.015939192</v>
      </c>
      <c r="S26" s="24" t="str">
        <f>VLOOKUP($H26,MZA!$E$2:$BJ$112,58,FALSE)</f>
        <v>4.015939192</v>
      </c>
      <c r="T26" s="24" t="str">
        <f>VLOOKUP($H26,MZA!$E$2:$BJ$112,58,FALSE)</f>
        <v>4.015939192</v>
      </c>
      <c r="U26">
        <f>VLOOKUP(Zuweisungen!D26,'DIN V 18599-10'!$B$2:$H$47,6,FALSE)</f>
        <v>0</v>
      </c>
      <c r="V26">
        <f>VLOOKUP(Zuweisungen!D26,'DIN V 18599-10'!$B$2:$H$47,7,FALSE)</f>
        <v>24</v>
      </c>
      <c r="W26">
        <f>VLOOKUP(Zuweisungen!F26,'SIA 2024'!$C$2:$I$46,6,FALSE)</f>
        <v>0</v>
      </c>
      <c r="X26">
        <f>VLOOKUP(Zuweisungen!F26,'SIA 2024'!$C$2:$I$46,7,FALSE)</f>
        <v>24</v>
      </c>
      <c r="Y26" s="3" t="str">
        <f>VLOOKUP($H26,MZA!$E$2:$BJ$112,31,FALSE)</f>
        <v>5.43296958</v>
      </c>
      <c r="Z26" s="3" t="str">
        <f>VLOOKUP($H26,MZA!$E$2:$BJ$112,32,FALSE)</f>
        <v>19.73586009</v>
      </c>
    </row>
    <row r="27" spans="1:26" x14ac:dyDescent="0.25">
      <c r="A27" t="s">
        <v>245</v>
      </c>
      <c r="B27" t="s">
        <v>271</v>
      </c>
      <c r="C27" t="s">
        <v>242</v>
      </c>
      <c r="D27" s="1" t="str">
        <f>VLOOKUP(Zuweisungen!C27,'DIN V 18599-10'!$A$2:$B$47,2,FALSE)</f>
        <v>8</v>
      </c>
      <c r="E27" t="s">
        <v>53</v>
      </c>
      <c r="F27" t="str">
        <f>VLOOKUP(Zuweisungen!E27,'SIA 2024'!$A$2:$C$46,3,FALSE)</f>
        <v>4.1</v>
      </c>
      <c r="G27" t="str">
        <f>VLOOKUP($B27,MZA!$D$2:$D$112,1,FALSE)</f>
        <v>Schule, allgemein</v>
      </c>
      <c r="H27">
        <f>VLOOKUP($B27,MZA!$D$2:$E$112,2,FALSE)</f>
        <v>30</v>
      </c>
      <c r="I27" s="9" t="str">
        <f>VLOOKUP(Zuweisungen!D27,'DIN V 18599-10'!$B$2:$F$47,2,FALSE)</f>
        <v>60</v>
      </c>
      <c r="J27" s="9">
        <f>VLOOKUP(Zuweisungen!F27,'SIA 2024'!$C$2:$G$46,2,FALSE)</f>
        <v>70</v>
      </c>
      <c r="K27" s="23" t="str">
        <f>VLOOKUP($H27,MZA!$E$2:$BJ$112,57,FALSE)</f>
        <v>67.51326377</v>
      </c>
      <c r="L27" s="19" t="str">
        <f>VLOOKUP(Zuweisungen!D27,'DIN V 18599-10'!$B$2:$F$47,3,FALSE)</f>
        <v>2</v>
      </c>
      <c r="M27" s="19" t="str">
        <f>VLOOKUP(Zuweisungen!D27,'DIN V 18599-10'!$B$2:$F$47,4,FALSE)</f>
        <v>4</v>
      </c>
      <c r="N27" s="19" t="str">
        <f>VLOOKUP(Zuweisungen!D27,'DIN V 18599-10'!$B$2:$F$47,5,FALSE)</f>
        <v>6</v>
      </c>
      <c r="O27" s="10">
        <f>VLOOKUP(Zuweisungen!F27,'SIA 2024'!$C$2:$G$46,4,FALSE)</f>
        <v>2</v>
      </c>
      <c r="P27" s="11">
        <f>VLOOKUP(Zuweisungen!F27,'SIA 2024'!$C$2:$G$46,3,FALSE)</f>
        <v>4</v>
      </c>
      <c r="Q27" s="12">
        <f>VLOOKUP(Zuweisungen!F27,'SIA 2024'!$C$2:$G$46,5,FALSE)</f>
        <v>6</v>
      </c>
      <c r="R27" s="24" t="str">
        <f>VLOOKUP($H27,MZA!$E$2:$BJ$112,58,FALSE)</f>
        <v>4.915781526</v>
      </c>
      <c r="S27" s="24" t="str">
        <f>VLOOKUP($H27,MZA!$E$2:$BJ$112,58,FALSE)</f>
        <v>4.915781526</v>
      </c>
      <c r="T27" s="24" t="str">
        <f>VLOOKUP($H27,MZA!$E$2:$BJ$112,58,FALSE)</f>
        <v>4.915781526</v>
      </c>
      <c r="U27">
        <f>VLOOKUP(Zuweisungen!D27,'DIN V 18599-10'!$B$2:$H$47,6,FALSE)</f>
        <v>8</v>
      </c>
      <c r="V27">
        <f>VLOOKUP(Zuweisungen!D27,'DIN V 18599-10'!$B$2:$H$47,7,FALSE)</f>
        <v>15</v>
      </c>
      <c r="W27">
        <f>VLOOKUP(Zuweisungen!F27,'SIA 2024'!$C$2:$I$46,6,FALSE)</f>
        <v>7</v>
      </c>
      <c r="X27">
        <f>VLOOKUP(Zuweisungen!F27,'SIA 2024'!$C$2:$I$46,7,FALSE)</f>
        <v>18</v>
      </c>
      <c r="Y27" s="3" t="str">
        <f>VLOOKUP($H27,MZA!$E$2:$BJ$112,31,FALSE)</f>
        <v>7.302450202</v>
      </c>
      <c r="Z27" s="3" t="str">
        <f>VLOOKUP($H27,MZA!$E$2:$BJ$112,32,FALSE)</f>
        <v>17.45584038</v>
      </c>
    </row>
    <row r="28" spans="1:26" x14ac:dyDescent="0.25">
      <c r="A28" t="s">
        <v>245</v>
      </c>
      <c r="B28" t="s">
        <v>272</v>
      </c>
      <c r="C28" t="s">
        <v>242</v>
      </c>
      <c r="D28" s="1" t="str">
        <f>VLOOKUP(Zuweisungen!C28,'DIN V 18599-10'!$A$2:$B$47,2,FALSE)</f>
        <v>8</v>
      </c>
      <c r="E28" t="s">
        <v>53</v>
      </c>
      <c r="F28" t="str">
        <f>VLOOKUP(Zuweisungen!E28,'SIA 2024'!$A$2:$C$46,3,FALSE)</f>
        <v>4.1</v>
      </c>
      <c r="G28" t="str">
        <f>VLOOKUP($B28,MZA!$D$2:$D$112,1,FALSE)</f>
        <v>Ganztagesschule</v>
      </c>
      <c r="H28">
        <f>VLOOKUP($B28,MZA!$D$2:$E$112,2,FALSE)</f>
        <v>31</v>
      </c>
      <c r="I28" s="9" t="str">
        <f>VLOOKUP(Zuweisungen!D28,'DIN V 18599-10'!$B$2:$F$47,2,FALSE)</f>
        <v>60</v>
      </c>
      <c r="J28" s="9">
        <f>VLOOKUP(Zuweisungen!F28,'SIA 2024'!$C$2:$G$46,2,FALSE)</f>
        <v>70</v>
      </c>
      <c r="K28" s="23" t="str">
        <f>VLOOKUP($H28,MZA!$E$2:$BJ$112,57,FALSE)</f>
        <v>76.15259911</v>
      </c>
      <c r="L28" s="19" t="str">
        <f>VLOOKUP(Zuweisungen!D28,'DIN V 18599-10'!$B$2:$F$47,3,FALSE)</f>
        <v>2</v>
      </c>
      <c r="M28" s="19" t="str">
        <f>VLOOKUP(Zuweisungen!D28,'DIN V 18599-10'!$B$2:$F$47,4,FALSE)</f>
        <v>4</v>
      </c>
      <c r="N28" s="19" t="str">
        <f>VLOOKUP(Zuweisungen!D28,'DIN V 18599-10'!$B$2:$F$47,5,FALSE)</f>
        <v>6</v>
      </c>
      <c r="O28" s="10">
        <f>VLOOKUP(Zuweisungen!F28,'SIA 2024'!$C$2:$G$46,4,FALSE)</f>
        <v>2</v>
      </c>
      <c r="P28" s="11">
        <f>VLOOKUP(Zuweisungen!F28,'SIA 2024'!$C$2:$G$46,3,FALSE)</f>
        <v>4</v>
      </c>
      <c r="Q28" s="12">
        <f>VLOOKUP(Zuweisungen!F28,'SIA 2024'!$C$2:$G$46,5,FALSE)</f>
        <v>6</v>
      </c>
      <c r="R28" s="24" t="str">
        <f>VLOOKUP($H28,MZA!$E$2:$BJ$112,58,FALSE)</f>
        <v>4.667642167</v>
      </c>
      <c r="S28" s="24" t="str">
        <f>VLOOKUP($H28,MZA!$E$2:$BJ$112,58,FALSE)</f>
        <v>4.667642167</v>
      </c>
      <c r="T28" s="24" t="str">
        <f>VLOOKUP($H28,MZA!$E$2:$BJ$112,58,FALSE)</f>
        <v>4.667642167</v>
      </c>
      <c r="U28">
        <f>VLOOKUP(Zuweisungen!D28,'DIN V 18599-10'!$B$2:$H$47,6,FALSE)</f>
        <v>8</v>
      </c>
      <c r="V28">
        <f>VLOOKUP(Zuweisungen!D28,'DIN V 18599-10'!$B$2:$H$47,7,FALSE)</f>
        <v>15</v>
      </c>
      <c r="W28">
        <f>VLOOKUP(Zuweisungen!F28,'SIA 2024'!$C$2:$I$46,6,FALSE)</f>
        <v>7</v>
      </c>
      <c r="X28">
        <f>VLOOKUP(Zuweisungen!F28,'SIA 2024'!$C$2:$I$46,7,FALSE)</f>
        <v>18</v>
      </c>
      <c r="Y28" s="3" t="str">
        <f>VLOOKUP($H28,MZA!$E$2:$BJ$112,31,FALSE)</f>
        <v>7.29122262</v>
      </c>
      <c r="Z28" s="3" t="str">
        <f>VLOOKUP($H28,MZA!$E$2:$BJ$112,32,FALSE)</f>
        <v>18.72914782</v>
      </c>
    </row>
    <row r="29" spans="1:26" x14ac:dyDescent="0.25">
      <c r="A29" t="s">
        <v>245</v>
      </c>
      <c r="B29" t="s">
        <v>273</v>
      </c>
      <c r="C29" t="s">
        <v>242</v>
      </c>
      <c r="D29" s="1" t="str">
        <f>VLOOKUP(Zuweisungen!C29,'DIN V 18599-10'!$A$2:$B$47,2,FALSE)</f>
        <v>8</v>
      </c>
      <c r="E29" t="s">
        <v>53</v>
      </c>
      <c r="F29" t="str">
        <f>VLOOKUP(Zuweisungen!E29,'SIA 2024'!$A$2:$C$46,3,FALSE)</f>
        <v>4.1</v>
      </c>
      <c r="G29" t="str">
        <f>VLOOKUP($B29,MZA!$D$2:$D$112,1,FALSE)</f>
        <v>Internatsschule</v>
      </c>
      <c r="H29">
        <f>VLOOKUP($B29,MZA!$D$2:$E$112,2,FALSE)</f>
        <v>32</v>
      </c>
      <c r="I29" s="9" t="str">
        <f>VLOOKUP(Zuweisungen!D29,'DIN V 18599-10'!$B$2:$F$47,2,FALSE)</f>
        <v>60</v>
      </c>
      <c r="J29" s="9">
        <f>VLOOKUP(Zuweisungen!F29,'SIA 2024'!$C$2:$G$46,2,FALSE)</f>
        <v>70</v>
      </c>
      <c r="K29" s="23" t="str">
        <f>VLOOKUP($H29,MZA!$E$2:$BJ$112,57,FALSE)</f>
        <v>67.51326377</v>
      </c>
      <c r="L29" s="19" t="str">
        <f>VLOOKUP(Zuweisungen!D29,'DIN V 18599-10'!$B$2:$F$47,3,FALSE)</f>
        <v>2</v>
      </c>
      <c r="M29" s="19" t="str">
        <f>VLOOKUP(Zuweisungen!D29,'DIN V 18599-10'!$B$2:$F$47,4,FALSE)</f>
        <v>4</v>
      </c>
      <c r="N29" s="19" t="str">
        <f>VLOOKUP(Zuweisungen!D29,'DIN V 18599-10'!$B$2:$F$47,5,FALSE)</f>
        <v>6</v>
      </c>
      <c r="O29" s="10">
        <f>VLOOKUP(Zuweisungen!F29,'SIA 2024'!$C$2:$G$46,4,FALSE)</f>
        <v>2</v>
      </c>
      <c r="P29" s="11">
        <f>VLOOKUP(Zuweisungen!F29,'SIA 2024'!$C$2:$G$46,3,FALSE)</f>
        <v>4</v>
      </c>
      <c r="Q29" s="12">
        <f>VLOOKUP(Zuweisungen!F29,'SIA 2024'!$C$2:$G$46,5,FALSE)</f>
        <v>6</v>
      </c>
      <c r="R29" s="24" t="str">
        <f>VLOOKUP($H29,MZA!$E$2:$BJ$112,58,FALSE)</f>
        <v>4.915781526</v>
      </c>
      <c r="S29" s="24" t="str">
        <f>VLOOKUP($H29,MZA!$E$2:$BJ$112,58,FALSE)</f>
        <v>4.915781526</v>
      </c>
      <c r="T29" s="24" t="str">
        <f>VLOOKUP($H29,MZA!$E$2:$BJ$112,58,FALSE)</f>
        <v>4.915781526</v>
      </c>
      <c r="U29">
        <f>VLOOKUP(Zuweisungen!D29,'DIN V 18599-10'!$B$2:$H$47,6,FALSE)</f>
        <v>8</v>
      </c>
      <c r="V29">
        <f>VLOOKUP(Zuweisungen!D29,'DIN V 18599-10'!$B$2:$H$47,7,FALSE)</f>
        <v>15</v>
      </c>
      <c r="W29">
        <f>VLOOKUP(Zuweisungen!F29,'SIA 2024'!$C$2:$I$46,6,FALSE)</f>
        <v>7</v>
      </c>
      <c r="X29">
        <f>VLOOKUP(Zuweisungen!F29,'SIA 2024'!$C$2:$I$46,7,FALSE)</f>
        <v>18</v>
      </c>
      <c r="Y29" s="3" t="str">
        <f>VLOOKUP($H29,MZA!$E$2:$BJ$112,31,FALSE)</f>
        <v>7.302450202</v>
      </c>
      <c r="Z29" s="3" t="str">
        <f>VLOOKUP($H29,MZA!$E$2:$BJ$112,32,FALSE)</f>
        <v>17.45584038</v>
      </c>
    </row>
    <row r="30" spans="1:26" x14ac:dyDescent="0.25">
      <c r="A30" t="s">
        <v>245</v>
      </c>
      <c r="B30" t="s">
        <v>274</v>
      </c>
      <c r="C30" t="s">
        <v>242</v>
      </c>
      <c r="D30" s="1" t="str">
        <f>VLOOKUP(Zuweisungen!C30,'DIN V 18599-10'!$A$2:$B$47,2,FALSE)</f>
        <v>8</v>
      </c>
      <c r="E30" t="s">
        <v>53</v>
      </c>
      <c r="F30" t="str">
        <f>VLOOKUP(Zuweisungen!E30,'SIA 2024'!$A$2:$C$46,3,FALSE)</f>
        <v>4.1</v>
      </c>
      <c r="G30" t="str">
        <f>VLOOKUP($B30,MZA!$D$2:$D$112,1,FALSE)</f>
        <v>Förder-, Sonderschule</v>
      </c>
      <c r="H30">
        <f>VLOOKUP($B30,MZA!$D$2:$E$112,2,FALSE)</f>
        <v>33</v>
      </c>
      <c r="I30" s="9" t="str">
        <f>VLOOKUP(Zuweisungen!D30,'DIN V 18599-10'!$B$2:$F$47,2,FALSE)</f>
        <v>60</v>
      </c>
      <c r="J30" s="9">
        <f>VLOOKUP(Zuweisungen!F30,'SIA 2024'!$C$2:$G$46,2,FALSE)</f>
        <v>70</v>
      </c>
      <c r="K30" s="23" t="str">
        <f>VLOOKUP($H30,MZA!$E$2:$BJ$112,57,FALSE)</f>
        <v>67.51326377</v>
      </c>
      <c r="L30" s="19" t="str">
        <f>VLOOKUP(Zuweisungen!D30,'DIN V 18599-10'!$B$2:$F$47,3,FALSE)</f>
        <v>2</v>
      </c>
      <c r="M30" s="19" t="str">
        <f>VLOOKUP(Zuweisungen!D30,'DIN V 18599-10'!$B$2:$F$47,4,FALSE)</f>
        <v>4</v>
      </c>
      <c r="N30" s="19" t="str">
        <f>VLOOKUP(Zuweisungen!D30,'DIN V 18599-10'!$B$2:$F$47,5,FALSE)</f>
        <v>6</v>
      </c>
      <c r="O30" s="10">
        <f>VLOOKUP(Zuweisungen!F30,'SIA 2024'!$C$2:$G$46,4,FALSE)</f>
        <v>2</v>
      </c>
      <c r="P30" s="11">
        <f>VLOOKUP(Zuweisungen!F30,'SIA 2024'!$C$2:$G$46,3,FALSE)</f>
        <v>4</v>
      </c>
      <c r="Q30" s="12">
        <f>VLOOKUP(Zuweisungen!F30,'SIA 2024'!$C$2:$G$46,5,FALSE)</f>
        <v>6</v>
      </c>
      <c r="R30" s="24" t="str">
        <f>VLOOKUP($H30,MZA!$E$2:$BJ$112,58,FALSE)</f>
        <v>4.915781526</v>
      </c>
      <c r="S30" s="24" t="str">
        <f>VLOOKUP($H30,MZA!$E$2:$BJ$112,58,FALSE)</f>
        <v>4.915781526</v>
      </c>
      <c r="T30" s="24" t="str">
        <f>VLOOKUP($H30,MZA!$E$2:$BJ$112,58,FALSE)</f>
        <v>4.915781526</v>
      </c>
      <c r="U30">
        <f>VLOOKUP(Zuweisungen!D30,'DIN V 18599-10'!$B$2:$H$47,6,FALSE)</f>
        <v>8</v>
      </c>
      <c r="V30">
        <f>VLOOKUP(Zuweisungen!D30,'DIN V 18599-10'!$B$2:$H$47,7,FALSE)</f>
        <v>15</v>
      </c>
      <c r="W30">
        <f>VLOOKUP(Zuweisungen!F30,'SIA 2024'!$C$2:$I$46,6,FALSE)</f>
        <v>7</v>
      </c>
      <c r="X30">
        <f>VLOOKUP(Zuweisungen!F30,'SIA 2024'!$C$2:$I$46,7,FALSE)</f>
        <v>18</v>
      </c>
      <c r="Y30" s="3" t="str">
        <f>VLOOKUP($H30,MZA!$E$2:$BJ$112,31,FALSE)</f>
        <v>7.302450202</v>
      </c>
      <c r="Z30" s="3" t="str">
        <f>VLOOKUP($H30,MZA!$E$2:$BJ$112,32,FALSE)</f>
        <v>17.45584038</v>
      </c>
    </row>
    <row r="31" spans="1:26" x14ac:dyDescent="0.25">
      <c r="A31" t="s">
        <v>245</v>
      </c>
      <c r="B31" t="s">
        <v>275</v>
      </c>
      <c r="C31" t="s">
        <v>242</v>
      </c>
      <c r="D31" s="1" t="str">
        <f>VLOOKUP(Zuweisungen!C31,'DIN V 18599-10'!$A$2:$B$47,2,FALSE)</f>
        <v>8</v>
      </c>
      <c r="E31" t="s">
        <v>53</v>
      </c>
      <c r="F31" t="str">
        <f>VLOOKUP(Zuweisungen!E31,'SIA 2024'!$A$2:$C$46,3,FALSE)</f>
        <v>4.1</v>
      </c>
      <c r="G31" t="str">
        <f>VLOOKUP($B31,MZA!$D$2:$D$112,1,FALSE)</f>
        <v>Berufsbildende Schule (gewerblich, wirtschaftlich)</v>
      </c>
      <c r="H31">
        <f>VLOOKUP($B31,MZA!$D$2:$E$112,2,FALSE)</f>
        <v>34</v>
      </c>
      <c r="I31" s="9" t="str">
        <f>VLOOKUP(Zuweisungen!D31,'DIN V 18599-10'!$B$2:$F$47,2,FALSE)</f>
        <v>60</v>
      </c>
      <c r="J31" s="9">
        <f>VLOOKUP(Zuweisungen!F31,'SIA 2024'!$C$2:$G$46,2,FALSE)</f>
        <v>70</v>
      </c>
      <c r="K31" s="23" t="str">
        <f>VLOOKUP($H31,MZA!$E$2:$BJ$112,57,FALSE)</f>
        <v>69.08341648</v>
      </c>
      <c r="L31" s="19" t="str">
        <f>VLOOKUP(Zuweisungen!D31,'DIN V 18599-10'!$B$2:$F$47,3,FALSE)</f>
        <v>2</v>
      </c>
      <c r="M31" s="19" t="str">
        <f>VLOOKUP(Zuweisungen!D31,'DIN V 18599-10'!$B$2:$F$47,4,FALSE)</f>
        <v>4</v>
      </c>
      <c r="N31" s="19" t="str">
        <f>VLOOKUP(Zuweisungen!D31,'DIN V 18599-10'!$B$2:$F$47,5,FALSE)</f>
        <v>6</v>
      </c>
      <c r="O31" s="10">
        <f>VLOOKUP(Zuweisungen!F31,'SIA 2024'!$C$2:$G$46,4,FALSE)</f>
        <v>2</v>
      </c>
      <c r="P31" s="11">
        <f>VLOOKUP(Zuweisungen!F31,'SIA 2024'!$C$2:$G$46,3,FALSE)</f>
        <v>4</v>
      </c>
      <c r="Q31" s="12">
        <f>VLOOKUP(Zuweisungen!F31,'SIA 2024'!$C$2:$G$46,5,FALSE)</f>
        <v>6</v>
      </c>
      <c r="R31" s="24" t="str">
        <f>VLOOKUP($H31,MZA!$E$2:$BJ$112,58,FALSE)</f>
        <v>5.968203705</v>
      </c>
      <c r="S31" s="24" t="str">
        <f>VLOOKUP($H31,MZA!$E$2:$BJ$112,58,FALSE)</f>
        <v>5.968203705</v>
      </c>
      <c r="T31" s="24" t="str">
        <f>VLOOKUP($H31,MZA!$E$2:$BJ$112,58,FALSE)</f>
        <v>5.968203705</v>
      </c>
      <c r="U31">
        <f>VLOOKUP(Zuweisungen!D31,'DIN V 18599-10'!$B$2:$H$47,6,FALSE)</f>
        <v>8</v>
      </c>
      <c r="V31">
        <f>VLOOKUP(Zuweisungen!D31,'DIN V 18599-10'!$B$2:$H$47,7,FALSE)</f>
        <v>15</v>
      </c>
      <c r="W31">
        <f>VLOOKUP(Zuweisungen!F31,'SIA 2024'!$C$2:$I$46,6,FALSE)</f>
        <v>7</v>
      </c>
      <c r="X31">
        <f>VLOOKUP(Zuweisungen!F31,'SIA 2024'!$C$2:$I$46,7,FALSE)</f>
        <v>18</v>
      </c>
      <c r="Y31" s="3" t="str">
        <f>VLOOKUP($H31,MZA!$E$2:$BJ$112,31,FALSE)</f>
        <v>6.92968555</v>
      </c>
      <c r="Z31" s="3" t="str">
        <f>VLOOKUP($H31,MZA!$E$2:$BJ$112,32,FALSE)</f>
        <v>17.88688657</v>
      </c>
    </row>
    <row r="32" spans="1:26" x14ac:dyDescent="0.25">
      <c r="A32" t="s">
        <v>245</v>
      </c>
      <c r="B32" t="s">
        <v>276</v>
      </c>
      <c r="C32" t="s">
        <v>242</v>
      </c>
      <c r="D32" s="1" t="str">
        <f>VLOOKUP(Zuweisungen!C32,'DIN V 18599-10'!$A$2:$B$47,2,FALSE)</f>
        <v>8</v>
      </c>
      <c r="E32" t="s">
        <v>53</v>
      </c>
      <c r="F32" t="str">
        <f>VLOOKUP(Zuweisungen!E32,'SIA 2024'!$A$2:$C$46,3,FALSE)</f>
        <v>4.1</v>
      </c>
      <c r="G32" t="str">
        <f>VLOOKUP($B32,MZA!$D$2:$D$112,1,FALSE)</f>
        <v>Berufsbildende Schule (mit höherer technischer Ausstattung, z.B. Werkstätten)</v>
      </c>
      <c r="H32">
        <f>VLOOKUP($B32,MZA!$D$2:$E$112,2,FALSE)</f>
        <v>35</v>
      </c>
      <c r="I32" s="9" t="str">
        <f>VLOOKUP(Zuweisungen!D32,'DIN V 18599-10'!$B$2:$F$47,2,FALSE)</f>
        <v>60</v>
      </c>
      <c r="J32" s="9">
        <f>VLOOKUP(Zuweisungen!F32,'SIA 2024'!$C$2:$G$46,2,FALSE)</f>
        <v>70</v>
      </c>
      <c r="K32" s="23" t="str">
        <f>VLOOKUP($H32,MZA!$E$2:$BJ$112,57,FALSE)</f>
        <v>69.08341648</v>
      </c>
      <c r="L32" s="19" t="str">
        <f>VLOOKUP(Zuweisungen!D32,'DIN V 18599-10'!$B$2:$F$47,3,FALSE)</f>
        <v>2</v>
      </c>
      <c r="M32" s="19" t="str">
        <f>VLOOKUP(Zuweisungen!D32,'DIN V 18599-10'!$B$2:$F$47,4,FALSE)</f>
        <v>4</v>
      </c>
      <c r="N32" s="19" t="str">
        <f>VLOOKUP(Zuweisungen!D32,'DIN V 18599-10'!$B$2:$F$47,5,FALSE)</f>
        <v>6</v>
      </c>
      <c r="O32" s="10">
        <f>VLOOKUP(Zuweisungen!F32,'SIA 2024'!$C$2:$G$46,4,FALSE)</f>
        <v>2</v>
      </c>
      <c r="P32" s="11">
        <f>VLOOKUP(Zuweisungen!F32,'SIA 2024'!$C$2:$G$46,3,FALSE)</f>
        <v>4</v>
      </c>
      <c r="Q32" s="12">
        <f>VLOOKUP(Zuweisungen!F32,'SIA 2024'!$C$2:$G$46,5,FALSE)</f>
        <v>6</v>
      </c>
      <c r="R32" s="24" t="str">
        <f>VLOOKUP($H32,MZA!$E$2:$BJ$112,58,FALSE)</f>
        <v>5.968203705</v>
      </c>
      <c r="S32" s="24" t="str">
        <f>VLOOKUP($H32,MZA!$E$2:$BJ$112,58,FALSE)</f>
        <v>5.968203705</v>
      </c>
      <c r="T32" s="24" t="str">
        <f>VLOOKUP($H32,MZA!$E$2:$BJ$112,58,FALSE)</f>
        <v>5.968203705</v>
      </c>
      <c r="U32">
        <f>VLOOKUP(Zuweisungen!D32,'DIN V 18599-10'!$B$2:$H$47,6,FALSE)</f>
        <v>8</v>
      </c>
      <c r="V32">
        <f>VLOOKUP(Zuweisungen!D32,'DIN V 18599-10'!$B$2:$H$47,7,FALSE)</f>
        <v>15</v>
      </c>
      <c r="W32">
        <f>VLOOKUP(Zuweisungen!F32,'SIA 2024'!$C$2:$I$46,6,FALSE)</f>
        <v>7</v>
      </c>
      <c r="X32">
        <f>VLOOKUP(Zuweisungen!F32,'SIA 2024'!$C$2:$I$46,7,FALSE)</f>
        <v>18</v>
      </c>
      <c r="Y32" s="3" t="str">
        <f>VLOOKUP($H32,MZA!$E$2:$BJ$112,31,FALSE)</f>
        <v>6.92968555</v>
      </c>
      <c r="Z32" s="3" t="str">
        <f>VLOOKUP($H32,MZA!$E$2:$BJ$112,32,FALSE)</f>
        <v>17.88688657</v>
      </c>
    </row>
    <row r="33" spans="1:26" x14ac:dyDescent="0.25">
      <c r="A33" t="s">
        <v>245</v>
      </c>
      <c r="B33" t="s">
        <v>277</v>
      </c>
      <c r="C33" t="s">
        <v>242</v>
      </c>
      <c r="D33" s="1" t="str">
        <f>VLOOKUP(Zuweisungen!C33,'DIN V 18599-10'!$A$2:$B$47,2,FALSE)</f>
        <v>8</v>
      </c>
      <c r="E33" t="s">
        <v>53</v>
      </c>
      <c r="F33" t="str">
        <f>VLOOKUP(Zuweisungen!E33,'SIA 2024'!$A$2:$C$46,3,FALSE)</f>
        <v>4.1</v>
      </c>
      <c r="G33" t="str">
        <f>VLOOKUP($B33,MZA!$D$2:$D$112,1,FALSE)</f>
        <v>Berufsakademie, Berufskolleg</v>
      </c>
      <c r="H33">
        <f>VLOOKUP($B33,MZA!$D$2:$E$112,2,FALSE)</f>
        <v>36</v>
      </c>
      <c r="I33" s="9" t="str">
        <f>VLOOKUP(Zuweisungen!D33,'DIN V 18599-10'!$B$2:$F$47,2,FALSE)</f>
        <v>60</v>
      </c>
      <c r="J33" s="9">
        <f>VLOOKUP(Zuweisungen!F33,'SIA 2024'!$C$2:$G$46,2,FALSE)</f>
        <v>70</v>
      </c>
      <c r="K33" s="23" t="str">
        <f>VLOOKUP($H33,MZA!$E$2:$BJ$112,57,FALSE)</f>
        <v>69.08341648</v>
      </c>
      <c r="L33" s="19" t="str">
        <f>VLOOKUP(Zuweisungen!D33,'DIN V 18599-10'!$B$2:$F$47,3,FALSE)</f>
        <v>2</v>
      </c>
      <c r="M33" s="19" t="str">
        <f>VLOOKUP(Zuweisungen!D33,'DIN V 18599-10'!$B$2:$F$47,4,FALSE)</f>
        <v>4</v>
      </c>
      <c r="N33" s="19" t="str">
        <f>VLOOKUP(Zuweisungen!D33,'DIN V 18599-10'!$B$2:$F$47,5,FALSE)</f>
        <v>6</v>
      </c>
      <c r="O33" s="10">
        <f>VLOOKUP(Zuweisungen!F33,'SIA 2024'!$C$2:$G$46,4,FALSE)</f>
        <v>2</v>
      </c>
      <c r="P33" s="11">
        <f>VLOOKUP(Zuweisungen!F33,'SIA 2024'!$C$2:$G$46,3,FALSE)</f>
        <v>4</v>
      </c>
      <c r="Q33" s="12">
        <f>VLOOKUP(Zuweisungen!F33,'SIA 2024'!$C$2:$G$46,5,FALSE)</f>
        <v>6</v>
      </c>
      <c r="R33" s="24" t="str">
        <f>VLOOKUP($H33,MZA!$E$2:$BJ$112,58,FALSE)</f>
        <v>5.968203705</v>
      </c>
      <c r="S33" s="24" t="str">
        <f>VLOOKUP($H33,MZA!$E$2:$BJ$112,58,FALSE)</f>
        <v>5.968203705</v>
      </c>
      <c r="T33" s="24" t="str">
        <f>VLOOKUP($H33,MZA!$E$2:$BJ$112,58,FALSE)</f>
        <v>5.968203705</v>
      </c>
      <c r="U33">
        <f>VLOOKUP(Zuweisungen!D33,'DIN V 18599-10'!$B$2:$H$47,6,FALSE)</f>
        <v>8</v>
      </c>
      <c r="V33">
        <f>VLOOKUP(Zuweisungen!D33,'DIN V 18599-10'!$B$2:$H$47,7,FALSE)</f>
        <v>15</v>
      </c>
      <c r="W33">
        <f>VLOOKUP(Zuweisungen!F33,'SIA 2024'!$C$2:$I$46,6,FALSE)</f>
        <v>7</v>
      </c>
      <c r="X33">
        <f>VLOOKUP(Zuweisungen!F33,'SIA 2024'!$C$2:$I$46,7,FALSE)</f>
        <v>18</v>
      </c>
      <c r="Y33" s="3" t="str">
        <f>VLOOKUP($H33,MZA!$E$2:$BJ$112,31,FALSE)</f>
        <v>6.92968555</v>
      </c>
      <c r="Z33" s="3" t="str">
        <f>VLOOKUP($H33,MZA!$E$2:$BJ$112,32,FALSE)</f>
        <v>17.88688657</v>
      </c>
    </row>
    <row r="34" spans="1:26" x14ac:dyDescent="0.25">
      <c r="A34" t="s">
        <v>245</v>
      </c>
      <c r="B34" t="s">
        <v>278</v>
      </c>
      <c r="C34" t="s">
        <v>242</v>
      </c>
      <c r="D34" s="1" t="str">
        <f>VLOOKUP(Zuweisungen!C34,'DIN V 18599-10'!$A$2:$B$47,2,FALSE)</f>
        <v>8</v>
      </c>
      <c r="E34" t="s">
        <v>53</v>
      </c>
      <c r="F34" t="str">
        <f>VLOOKUP(Zuweisungen!E34,'SIA 2024'!$A$2:$C$46,3,FALSE)</f>
        <v>4.1</v>
      </c>
      <c r="G34" t="str">
        <f>VLOOKUP($B34,MZA!$D$2:$D$112,1,FALSE)</f>
        <v>Bildungszentrum</v>
      </c>
      <c r="H34">
        <f>VLOOKUP($B34,MZA!$D$2:$E$112,2,FALSE)</f>
        <v>37</v>
      </c>
      <c r="I34" s="9" t="str">
        <f>VLOOKUP(Zuweisungen!D34,'DIN V 18599-10'!$B$2:$F$47,2,FALSE)</f>
        <v>60</v>
      </c>
      <c r="J34" s="9">
        <f>VLOOKUP(Zuweisungen!F34,'SIA 2024'!$C$2:$G$46,2,FALSE)</f>
        <v>70</v>
      </c>
      <c r="K34" s="23" t="str">
        <f>VLOOKUP($H34,MZA!$E$2:$BJ$112,57,FALSE)</f>
        <v>69.08341648</v>
      </c>
      <c r="L34" s="19" t="str">
        <f>VLOOKUP(Zuweisungen!D34,'DIN V 18599-10'!$B$2:$F$47,3,FALSE)</f>
        <v>2</v>
      </c>
      <c r="M34" s="19" t="str">
        <f>VLOOKUP(Zuweisungen!D34,'DIN V 18599-10'!$B$2:$F$47,4,FALSE)</f>
        <v>4</v>
      </c>
      <c r="N34" s="19" t="str">
        <f>VLOOKUP(Zuweisungen!D34,'DIN V 18599-10'!$B$2:$F$47,5,FALSE)</f>
        <v>6</v>
      </c>
      <c r="O34" s="10">
        <f>VLOOKUP(Zuweisungen!F34,'SIA 2024'!$C$2:$G$46,4,FALSE)</f>
        <v>2</v>
      </c>
      <c r="P34" s="11">
        <f>VLOOKUP(Zuweisungen!F34,'SIA 2024'!$C$2:$G$46,3,FALSE)</f>
        <v>4</v>
      </c>
      <c r="Q34" s="12">
        <f>VLOOKUP(Zuweisungen!F34,'SIA 2024'!$C$2:$G$46,5,FALSE)</f>
        <v>6</v>
      </c>
      <c r="R34" s="24" t="str">
        <f>VLOOKUP($H34,MZA!$E$2:$BJ$112,58,FALSE)</f>
        <v>5.968203705</v>
      </c>
      <c r="S34" s="24" t="str">
        <f>VLOOKUP($H34,MZA!$E$2:$BJ$112,58,FALSE)</f>
        <v>5.968203705</v>
      </c>
      <c r="T34" s="24" t="str">
        <f>VLOOKUP($H34,MZA!$E$2:$BJ$112,58,FALSE)</f>
        <v>5.968203705</v>
      </c>
      <c r="U34">
        <f>VLOOKUP(Zuweisungen!D34,'DIN V 18599-10'!$B$2:$H$47,6,FALSE)</f>
        <v>8</v>
      </c>
      <c r="V34">
        <f>VLOOKUP(Zuweisungen!D34,'DIN V 18599-10'!$B$2:$H$47,7,FALSE)</f>
        <v>15</v>
      </c>
      <c r="W34">
        <f>VLOOKUP(Zuweisungen!F34,'SIA 2024'!$C$2:$I$46,6,FALSE)</f>
        <v>7</v>
      </c>
      <c r="X34">
        <f>VLOOKUP(Zuweisungen!F34,'SIA 2024'!$C$2:$I$46,7,FALSE)</f>
        <v>18</v>
      </c>
      <c r="Y34" s="3" t="str">
        <f>VLOOKUP($H34,MZA!$E$2:$BJ$112,31,FALSE)</f>
        <v>6.92968555</v>
      </c>
      <c r="Z34" s="3" t="str">
        <f>VLOOKUP($H34,MZA!$E$2:$BJ$112,32,FALSE)</f>
        <v>17.88688657</v>
      </c>
    </row>
    <row r="35" spans="1:26" x14ac:dyDescent="0.25">
      <c r="A35" t="s">
        <v>245</v>
      </c>
      <c r="B35" t="s">
        <v>279</v>
      </c>
      <c r="C35" t="s">
        <v>242</v>
      </c>
      <c r="D35" s="1" t="str">
        <f>VLOOKUP(Zuweisungen!C35,'DIN V 18599-10'!$A$2:$B$47,2,FALSE)</f>
        <v>8</v>
      </c>
      <c r="E35" t="s">
        <v>53</v>
      </c>
      <c r="F35" t="str">
        <f>VLOOKUP(Zuweisungen!E35,'SIA 2024'!$A$2:$C$46,3,FALSE)</f>
        <v>4.1</v>
      </c>
      <c r="G35" t="str">
        <f>VLOOKUP($B35,MZA!$D$2:$D$112,1,FALSE)</f>
        <v>Ausbildungsstätte</v>
      </c>
      <c r="H35">
        <f>VLOOKUP($B35,MZA!$D$2:$E$112,2,FALSE)</f>
        <v>38</v>
      </c>
      <c r="I35" s="9" t="str">
        <f>VLOOKUP(Zuweisungen!D35,'DIN V 18599-10'!$B$2:$F$47,2,FALSE)</f>
        <v>60</v>
      </c>
      <c r="J35" s="9">
        <f>VLOOKUP(Zuweisungen!F35,'SIA 2024'!$C$2:$G$46,2,FALSE)</f>
        <v>70</v>
      </c>
      <c r="K35" s="23" t="str">
        <f>VLOOKUP($H35,MZA!$E$2:$BJ$112,57,FALSE)</f>
        <v>69.08341648</v>
      </c>
      <c r="L35" s="19" t="str">
        <f>VLOOKUP(Zuweisungen!D35,'DIN V 18599-10'!$B$2:$F$47,3,FALSE)</f>
        <v>2</v>
      </c>
      <c r="M35" s="19" t="str">
        <f>VLOOKUP(Zuweisungen!D35,'DIN V 18599-10'!$B$2:$F$47,4,FALSE)</f>
        <v>4</v>
      </c>
      <c r="N35" s="19" t="str">
        <f>VLOOKUP(Zuweisungen!D35,'DIN V 18599-10'!$B$2:$F$47,5,FALSE)</f>
        <v>6</v>
      </c>
      <c r="O35" s="10">
        <f>VLOOKUP(Zuweisungen!F35,'SIA 2024'!$C$2:$G$46,4,FALSE)</f>
        <v>2</v>
      </c>
      <c r="P35" s="11">
        <f>VLOOKUP(Zuweisungen!F35,'SIA 2024'!$C$2:$G$46,3,FALSE)</f>
        <v>4</v>
      </c>
      <c r="Q35" s="12">
        <f>VLOOKUP(Zuweisungen!F35,'SIA 2024'!$C$2:$G$46,5,FALSE)</f>
        <v>6</v>
      </c>
      <c r="R35" s="24" t="str">
        <f>VLOOKUP($H35,MZA!$E$2:$BJ$112,58,FALSE)</f>
        <v>5.968203705</v>
      </c>
      <c r="S35" s="24" t="str">
        <f>VLOOKUP($H35,MZA!$E$2:$BJ$112,58,FALSE)</f>
        <v>5.968203705</v>
      </c>
      <c r="T35" s="24" t="str">
        <f>VLOOKUP($H35,MZA!$E$2:$BJ$112,58,FALSE)</f>
        <v>5.968203705</v>
      </c>
      <c r="U35">
        <f>VLOOKUP(Zuweisungen!D35,'DIN V 18599-10'!$B$2:$H$47,6,FALSE)</f>
        <v>8</v>
      </c>
      <c r="V35">
        <f>VLOOKUP(Zuweisungen!D35,'DIN V 18599-10'!$B$2:$H$47,7,FALSE)</f>
        <v>15</v>
      </c>
      <c r="W35">
        <f>VLOOKUP(Zuweisungen!F35,'SIA 2024'!$C$2:$I$46,6,FALSE)</f>
        <v>7</v>
      </c>
      <c r="X35">
        <f>VLOOKUP(Zuweisungen!F35,'SIA 2024'!$C$2:$I$46,7,FALSE)</f>
        <v>18</v>
      </c>
      <c r="Y35" s="3" t="str">
        <f>VLOOKUP($H35,MZA!$E$2:$BJ$112,31,FALSE)</f>
        <v>6.92968555</v>
      </c>
      <c r="Z35" s="3" t="str">
        <f>VLOOKUP($H35,MZA!$E$2:$BJ$112,32,FALSE)</f>
        <v>17.88688657</v>
      </c>
    </row>
    <row r="36" spans="1:26" x14ac:dyDescent="0.25">
      <c r="A36" t="s">
        <v>245</v>
      </c>
      <c r="B36" t="s">
        <v>280</v>
      </c>
      <c r="C36" t="s">
        <v>242</v>
      </c>
      <c r="D36" s="1" t="str">
        <f>VLOOKUP(Zuweisungen!C36,'DIN V 18599-10'!$A$2:$B$47,2,FALSE)</f>
        <v>8</v>
      </c>
      <c r="E36" t="s">
        <v>53</v>
      </c>
      <c r="F36" t="str">
        <f>VLOOKUP(Zuweisungen!E36,'SIA 2024'!$A$2:$C$46,3,FALSE)</f>
        <v>4.1</v>
      </c>
      <c r="G36" t="str">
        <f>VLOOKUP($B36,MZA!$D$2:$D$112,1,FALSE)</f>
        <v>Volkshochschule</v>
      </c>
      <c r="H36">
        <f>VLOOKUP($B36,MZA!$D$2:$E$112,2,FALSE)</f>
        <v>39</v>
      </c>
      <c r="I36" s="9" t="str">
        <f>VLOOKUP(Zuweisungen!D36,'DIN V 18599-10'!$B$2:$F$47,2,FALSE)</f>
        <v>60</v>
      </c>
      <c r="J36" s="9">
        <f>VLOOKUP(Zuweisungen!F36,'SIA 2024'!$C$2:$G$46,2,FALSE)</f>
        <v>70</v>
      </c>
      <c r="K36" s="23" t="str">
        <f>VLOOKUP($H36,MZA!$E$2:$BJ$112,57,FALSE)</f>
        <v>68.53674487</v>
      </c>
      <c r="L36" s="19" t="str">
        <f>VLOOKUP(Zuweisungen!D36,'DIN V 18599-10'!$B$2:$F$47,3,FALSE)</f>
        <v>2</v>
      </c>
      <c r="M36" s="19" t="str">
        <f>VLOOKUP(Zuweisungen!D36,'DIN V 18599-10'!$B$2:$F$47,4,FALSE)</f>
        <v>4</v>
      </c>
      <c r="N36" s="19" t="str">
        <f>VLOOKUP(Zuweisungen!D36,'DIN V 18599-10'!$B$2:$F$47,5,FALSE)</f>
        <v>6</v>
      </c>
      <c r="O36" s="10">
        <f>VLOOKUP(Zuweisungen!F36,'SIA 2024'!$C$2:$G$46,4,FALSE)</f>
        <v>2</v>
      </c>
      <c r="P36" s="11">
        <f>VLOOKUP(Zuweisungen!F36,'SIA 2024'!$C$2:$G$46,3,FALSE)</f>
        <v>4</v>
      </c>
      <c r="Q36" s="12">
        <f>VLOOKUP(Zuweisungen!F36,'SIA 2024'!$C$2:$G$46,5,FALSE)</f>
        <v>6</v>
      </c>
      <c r="R36" s="24" t="str">
        <f>VLOOKUP($H36,MZA!$E$2:$BJ$112,58,FALSE)</f>
        <v>3.557344887</v>
      </c>
      <c r="S36" s="24" t="str">
        <f>VLOOKUP($H36,MZA!$E$2:$BJ$112,58,FALSE)</f>
        <v>3.557344887</v>
      </c>
      <c r="T36" s="24" t="str">
        <f>VLOOKUP($H36,MZA!$E$2:$BJ$112,58,FALSE)</f>
        <v>3.557344887</v>
      </c>
      <c r="U36">
        <f>VLOOKUP(Zuweisungen!D36,'DIN V 18599-10'!$B$2:$H$47,6,FALSE)</f>
        <v>8</v>
      </c>
      <c r="V36">
        <f>VLOOKUP(Zuweisungen!D36,'DIN V 18599-10'!$B$2:$H$47,7,FALSE)</f>
        <v>15</v>
      </c>
      <c r="W36">
        <f>VLOOKUP(Zuweisungen!F36,'SIA 2024'!$C$2:$I$46,6,FALSE)</f>
        <v>7</v>
      </c>
      <c r="X36">
        <f>VLOOKUP(Zuweisungen!F36,'SIA 2024'!$C$2:$I$46,7,FALSE)</f>
        <v>18</v>
      </c>
      <c r="Y36" s="3" t="str">
        <f>VLOOKUP($H36,MZA!$E$2:$BJ$112,31,FALSE)</f>
        <v>6.396852802</v>
      </c>
      <c r="Z36" s="3" t="str">
        <f>VLOOKUP($H36,MZA!$E$2:$BJ$112,32,FALSE)</f>
        <v>17.01362314</v>
      </c>
    </row>
    <row r="37" spans="1:26" x14ac:dyDescent="0.25">
      <c r="A37" t="s">
        <v>245</v>
      </c>
      <c r="B37" t="s">
        <v>281</v>
      </c>
      <c r="C37" t="s">
        <v>242</v>
      </c>
      <c r="D37" s="1" t="str">
        <f>VLOOKUP(Zuweisungen!C37,'DIN V 18599-10'!$A$2:$B$47,2,FALSE)</f>
        <v>8</v>
      </c>
      <c r="E37" t="s">
        <v>53</v>
      </c>
      <c r="F37" t="str">
        <f>VLOOKUP(Zuweisungen!E37,'SIA 2024'!$A$2:$C$46,3,FALSE)</f>
        <v>4.1</v>
      </c>
      <c r="G37" t="str">
        <f>VLOOKUP($B37,MZA!$D$2:$D$112,1,FALSE)</f>
        <v>KiTa</v>
      </c>
      <c r="H37">
        <f>VLOOKUP($B37,MZA!$D$2:$E$112,2,FALSE)</f>
        <v>40</v>
      </c>
      <c r="I37" s="9" t="str">
        <f>VLOOKUP(Zuweisungen!D37,'DIN V 18599-10'!$B$2:$F$47,2,FALSE)</f>
        <v>60</v>
      </c>
      <c r="J37" s="9">
        <f>VLOOKUP(Zuweisungen!F37,'SIA 2024'!$C$2:$G$46,2,FALSE)</f>
        <v>70</v>
      </c>
      <c r="K37" s="23" t="str">
        <f>VLOOKUP($H37,MZA!$E$2:$BJ$112,57,FALSE)</f>
        <v>66.77921123</v>
      </c>
      <c r="L37" s="19" t="str">
        <f>VLOOKUP(Zuweisungen!D37,'DIN V 18599-10'!$B$2:$F$47,3,FALSE)</f>
        <v>2</v>
      </c>
      <c r="M37" s="19" t="str">
        <f>VLOOKUP(Zuweisungen!D37,'DIN V 18599-10'!$B$2:$F$47,4,FALSE)</f>
        <v>4</v>
      </c>
      <c r="N37" s="19" t="str">
        <f>VLOOKUP(Zuweisungen!D37,'DIN V 18599-10'!$B$2:$F$47,5,FALSE)</f>
        <v>6</v>
      </c>
      <c r="O37" s="10">
        <f>VLOOKUP(Zuweisungen!F37,'SIA 2024'!$C$2:$G$46,4,FALSE)</f>
        <v>2</v>
      </c>
      <c r="P37" s="11">
        <f>VLOOKUP(Zuweisungen!F37,'SIA 2024'!$C$2:$G$46,3,FALSE)</f>
        <v>4</v>
      </c>
      <c r="Q37" s="12">
        <f>VLOOKUP(Zuweisungen!F37,'SIA 2024'!$C$2:$G$46,5,FALSE)</f>
        <v>6</v>
      </c>
      <c r="R37" s="24" t="str">
        <f>VLOOKUP($H37,MZA!$E$2:$BJ$112,58,FALSE)</f>
        <v>6.481584022</v>
      </c>
      <c r="S37" s="24" t="str">
        <f>VLOOKUP($H37,MZA!$E$2:$BJ$112,58,FALSE)</f>
        <v>6.481584022</v>
      </c>
      <c r="T37" s="24" t="str">
        <f>VLOOKUP($H37,MZA!$E$2:$BJ$112,58,FALSE)</f>
        <v>6.481584022</v>
      </c>
      <c r="U37">
        <f>VLOOKUP(Zuweisungen!D37,'DIN V 18599-10'!$B$2:$H$47,6,FALSE)</f>
        <v>8</v>
      </c>
      <c r="V37">
        <f>VLOOKUP(Zuweisungen!D37,'DIN V 18599-10'!$B$2:$H$47,7,FALSE)</f>
        <v>15</v>
      </c>
      <c r="W37">
        <f>VLOOKUP(Zuweisungen!F37,'SIA 2024'!$C$2:$I$46,6,FALSE)</f>
        <v>7</v>
      </c>
      <c r="X37">
        <f>VLOOKUP(Zuweisungen!F37,'SIA 2024'!$C$2:$I$46,7,FALSE)</f>
        <v>18</v>
      </c>
      <c r="Y37" s="3" t="str">
        <f>VLOOKUP($H37,MZA!$E$2:$BJ$112,31,FALSE)</f>
        <v>7.386077325</v>
      </c>
      <c r="Z37" s="3" t="str">
        <f>VLOOKUP($H37,MZA!$E$2:$BJ$112,32,FALSE)</f>
        <v>17.44091326</v>
      </c>
    </row>
    <row r="38" spans="1:26" x14ac:dyDescent="0.25">
      <c r="A38" t="s">
        <v>245</v>
      </c>
      <c r="B38" t="s">
        <v>282</v>
      </c>
      <c r="C38" t="s">
        <v>242</v>
      </c>
      <c r="D38" s="1" t="str">
        <f>VLOOKUP(Zuweisungen!C38,'DIN V 18599-10'!$A$2:$B$47,2,FALSE)</f>
        <v>8</v>
      </c>
      <c r="E38" t="s">
        <v>53</v>
      </c>
      <c r="F38" t="str">
        <f>VLOOKUP(Zuweisungen!E38,'SIA 2024'!$A$2:$C$46,3,FALSE)</f>
        <v>4.1</v>
      </c>
      <c r="G38" t="str">
        <f>VLOOKUP($B38,MZA!$D$2:$D$112,1,FALSE)</f>
        <v>KiTa mit Küche</v>
      </c>
      <c r="H38">
        <f>VLOOKUP($B38,MZA!$D$2:$E$112,2,FALSE)</f>
        <v>41</v>
      </c>
      <c r="I38" s="9" t="str">
        <f>VLOOKUP(Zuweisungen!D38,'DIN V 18599-10'!$B$2:$F$47,2,FALSE)</f>
        <v>60</v>
      </c>
      <c r="J38" s="9">
        <f>VLOOKUP(Zuweisungen!F38,'SIA 2024'!$C$2:$G$46,2,FALSE)</f>
        <v>70</v>
      </c>
      <c r="K38" s="23" t="str">
        <f>VLOOKUP($H38,MZA!$E$2:$BJ$112,57,FALSE)</f>
        <v>66.77921123</v>
      </c>
      <c r="L38" s="19" t="str">
        <f>VLOOKUP(Zuweisungen!D38,'DIN V 18599-10'!$B$2:$F$47,3,FALSE)</f>
        <v>2</v>
      </c>
      <c r="M38" s="19" t="str">
        <f>VLOOKUP(Zuweisungen!D38,'DIN V 18599-10'!$B$2:$F$47,4,FALSE)</f>
        <v>4</v>
      </c>
      <c r="N38" s="19" t="str">
        <f>VLOOKUP(Zuweisungen!D38,'DIN V 18599-10'!$B$2:$F$47,5,FALSE)</f>
        <v>6</v>
      </c>
      <c r="O38" s="10">
        <f>VLOOKUP(Zuweisungen!F38,'SIA 2024'!$C$2:$G$46,4,FALSE)</f>
        <v>2</v>
      </c>
      <c r="P38" s="11">
        <f>VLOOKUP(Zuweisungen!F38,'SIA 2024'!$C$2:$G$46,3,FALSE)</f>
        <v>4</v>
      </c>
      <c r="Q38" s="12">
        <f>VLOOKUP(Zuweisungen!F38,'SIA 2024'!$C$2:$G$46,5,FALSE)</f>
        <v>6</v>
      </c>
      <c r="R38" s="24" t="str">
        <f>VLOOKUP($H38,MZA!$E$2:$BJ$112,58,FALSE)</f>
        <v>6.481584022</v>
      </c>
      <c r="S38" s="24" t="str">
        <f>VLOOKUP($H38,MZA!$E$2:$BJ$112,58,FALSE)</f>
        <v>6.481584022</v>
      </c>
      <c r="T38" s="24" t="str">
        <f>VLOOKUP($H38,MZA!$E$2:$BJ$112,58,FALSE)</f>
        <v>6.481584022</v>
      </c>
      <c r="U38">
        <f>VLOOKUP(Zuweisungen!D38,'DIN V 18599-10'!$B$2:$H$47,6,FALSE)</f>
        <v>8</v>
      </c>
      <c r="V38">
        <f>VLOOKUP(Zuweisungen!D38,'DIN V 18599-10'!$B$2:$H$47,7,FALSE)</f>
        <v>15</v>
      </c>
      <c r="W38">
        <f>VLOOKUP(Zuweisungen!F38,'SIA 2024'!$C$2:$I$46,6,FALSE)</f>
        <v>7</v>
      </c>
      <c r="X38">
        <f>VLOOKUP(Zuweisungen!F38,'SIA 2024'!$C$2:$I$46,7,FALSE)</f>
        <v>18</v>
      </c>
      <c r="Y38" s="3" t="str">
        <f>VLOOKUP($H38,MZA!$E$2:$BJ$112,31,FALSE)</f>
        <v>7.386077325</v>
      </c>
      <c r="Z38" s="3" t="str">
        <f>VLOOKUP($H38,MZA!$E$2:$BJ$112,32,FALSE)</f>
        <v>17.44091326</v>
      </c>
    </row>
    <row r="39" spans="1:26" x14ac:dyDescent="0.25">
      <c r="A39" t="s">
        <v>245</v>
      </c>
      <c r="B39" t="s">
        <v>283</v>
      </c>
      <c r="C39" t="s">
        <v>349</v>
      </c>
      <c r="D39" s="1">
        <f>VLOOKUP(Zuweisungen!C39,'DIN V 18599-10'!$A$2:$B$47,2,FALSE)</f>
        <v>43</v>
      </c>
      <c r="E39" t="s">
        <v>344</v>
      </c>
      <c r="F39" t="str">
        <f>VLOOKUP(Zuweisungen!E39,'SIA 2024'!$A$2:$C$46,3,FALSE)</f>
        <v>1.1</v>
      </c>
      <c r="G39" t="str">
        <f>VLOOKUP($B39,MZA!$D$2:$D$112,1,FALSE)</f>
        <v>Studentenhaus</v>
      </c>
      <c r="H39">
        <f>VLOOKUP($B39,MZA!$D$2:$E$112,2,FALSE)</f>
        <v>42</v>
      </c>
      <c r="I39" s="9">
        <f>VLOOKUP(Zuweisungen!D39,'DIN V 18599-10'!$B$2:$F$47,2,FALSE)</f>
        <v>80</v>
      </c>
      <c r="J39" s="9">
        <f>VLOOKUP(Zuweisungen!F39,'SIA 2024'!$C$2:$G$46,2,FALSE)</f>
        <v>70</v>
      </c>
      <c r="K39" s="23" t="str">
        <f>VLOOKUP($H39,MZA!$E$2:$BJ$112,57,FALSE)</f>
        <v>70.53952491</v>
      </c>
      <c r="L39" s="19" t="str">
        <f>VLOOKUP(Zuweisungen!D39,'DIN V 18599-10'!$B$2:$F$47,3,FALSE)</f>
        <v>4.8</v>
      </c>
      <c r="M39" s="19" t="str">
        <f>VLOOKUP(Zuweisungen!D39,'DIN V 18599-10'!$B$2:$F$47,4,FALSE)</f>
        <v>7.2</v>
      </c>
      <c r="N39" s="19" t="str">
        <f>VLOOKUP(Zuweisungen!D39,'DIN V 18599-10'!$B$2:$F$47,5,FALSE)</f>
        <v>10.8</v>
      </c>
      <c r="O39" s="10">
        <f>VLOOKUP(Zuweisungen!F39,'SIA 2024'!$C$2:$G$46,4,FALSE)</f>
        <v>4</v>
      </c>
      <c r="P39" s="11">
        <f>VLOOKUP(Zuweisungen!F39,'SIA 2024'!$C$2:$G$46,3,FALSE)</f>
        <v>8</v>
      </c>
      <c r="Q39" s="12">
        <f>VLOOKUP(Zuweisungen!F39,'SIA 2024'!$C$2:$G$46,5,FALSE)</f>
        <v>10</v>
      </c>
      <c r="R39" s="24" t="str">
        <f>VLOOKUP($H39,MZA!$E$2:$BJ$112,58,FALSE)</f>
        <v>8.297548182</v>
      </c>
      <c r="S39" s="24" t="str">
        <f>VLOOKUP($H39,MZA!$E$2:$BJ$112,58,FALSE)</f>
        <v>8.297548182</v>
      </c>
      <c r="T39" s="24" t="str">
        <f>VLOOKUP($H39,MZA!$E$2:$BJ$112,58,FALSE)</f>
        <v>8.297548182</v>
      </c>
      <c r="U39">
        <f>VLOOKUP(Zuweisungen!D39,'DIN V 18599-10'!$B$2:$H$47,6,FALSE)</f>
        <v>0</v>
      </c>
      <c r="V39">
        <f>VLOOKUP(Zuweisungen!D39,'DIN V 18599-10'!$B$2:$H$47,7,FALSE)</f>
        <v>24</v>
      </c>
      <c r="W39">
        <f>VLOOKUP(Zuweisungen!F39,'SIA 2024'!$C$2:$I$46,6,FALSE)</f>
        <v>0</v>
      </c>
      <c r="X39">
        <f>VLOOKUP(Zuweisungen!F39,'SIA 2024'!$C$2:$I$46,7,FALSE)</f>
        <v>24</v>
      </c>
      <c r="Y39" s="3" t="str">
        <f>VLOOKUP($H39,MZA!$E$2:$BJ$112,31,FALSE)</f>
        <v>2.13968697</v>
      </c>
      <c r="Z39" s="3" t="str">
        <f>VLOOKUP($H39,MZA!$E$2:$BJ$112,32,FALSE)</f>
        <v>14.1161548</v>
      </c>
    </row>
    <row r="40" spans="1:26" x14ac:dyDescent="0.25">
      <c r="A40" t="s">
        <v>245</v>
      </c>
      <c r="B40" t="s">
        <v>284</v>
      </c>
      <c r="C40" t="s">
        <v>106</v>
      </c>
      <c r="D40" s="1" t="str">
        <f>VLOOKUP(Zuweisungen!C40,'DIN V 18599-10'!$A$2:$B$47,2,FALSE)</f>
        <v>10</v>
      </c>
      <c r="E40" t="s">
        <v>2</v>
      </c>
      <c r="F40" t="str">
        <f>VLOOKUP(Zuweisungen!E40,'SIA 2024'!$A$2:$C$46,3,FALSE)</f>
        <v>8.1</v>
      </c>
      <c r="G40" t="str">
        <f>VLOOKUP($B40,MZA!$D$2:$D$112,1,FALSE)</f>
        <v>Altentagesstätte</v>
      </c>
      <c r="H40">
        <f>VLOOKUP($B40,MZA!$D$2:$E$112,2,FALSE)</f>
        <v>43</v>
      </c>
      <c r="I40" s="9">
        <f>VLOOKUP(Zuweisungen!D40,'DIN V 18599-10'!$B$2:$F$47,2,FALSE)</f>
        <v>70</v>
      </c>
      <c r="J40" s="9">
        <f>VLOOKUP(Zuweisungen!F40,'SIA 2024'!$C$2:$G$46,2,FALSE)</f>
        <v>70</v>
      </c>
      <c r="K40" s="23" t="str">
        <f>VLOOKUP($H40,MZA!$E$2:$BJ$112,57,FALSE)</f>
        <v>71.85642966</v>
      </c>
      <c r="L40" s="19" t="str">
        <f>VLOOKUP(Zuweisungen!D40,'DIN V 18599-10'!$B$2:$F$47,3,FALSE)</f>
        <v>2</v>
      </c>
      <c r="M40" s="19" t="str">
        <f>VLOOKUP(Zuweisungen!D40,'DIN V 18599-10'!$B$2:$F$47,4,FALSE)</f>
        <v>4</v>
      </c>
      <c r="N40" s="19" t="str">
        <f>VLOOKUP(Zuweisungen!D40,'DIN V 18599-10'!$B$2:$F$47,5,FALSE)</f>
        <v>6</v>
      </c>
      <c r="O40" s="10">
        <f>VLOOKUP(Zuweisungen!F40,'SIA 2024'!$C$2:$G$46,4,FALSE)</f>
        <v>2</v>
      </c>
      <c r="P40" s="11">
        <f>VLOOKUP(Zuweisungen!F40,'SIA 2024'!$C$2:$G$46,3,FALSE)</f>
        <v>4</v>
      </c>
      <c r="Q40" s="12">
        <f>VLOOKUP(Zuweisungen!F40,'SIA 2024'!$C$2:$G$46,5,FALSE)</f>
        <v>6</v>
      </c>
      <c r="R40" s="24" t="str">
        <f>VLOOKUP($H40,MZA!$E$2:$BJ$112,58,FALSE)</f>
        <v>9.563491424</v>
      </c>
      <c r="S40" s="24" t="str">
        <f>VLOOKUP($H40,MZA!$E$2:$BJ$112,58,FALSE)</f>
        <v>9.563491424</v>
      </c>
      <c r="T40" s="24" t="str">
        <f>VLOOKUP($H40,MZA!$E$2:$BJ$112,58,FALSE)</f>
        <v>9.563491424</v>
      </c>
      <c r="U40">
        <f>VLOOKUP(Zuweisungen!D40,'DIN V 18599-10'!$B$2:$H$47,6,FALSE)</f>
        <v>0</v>
      </c>
      <c r="V40">
        <f>VLOOKUP(Zuweisungen!D40,'DIN V 18599-10'!$B$2:$H$47,7,FALSE)</f>
        <v>24</v>
      </c>
      <c r="W40">
        <f>VLOOKUP(Zuweisungen!F40,'SIA 2024'!$C$2:$I$46,6,FALSE)</f>
        <v>0</v>
      </c>
      <c r="X40">
        <f>VLOOKUP(Zuweisungen!F40,'SIA 2024'!$C$2:$I$46,7,FALSE)</f>
        <v>24</v>
      </c>
      <c r="Y40" s="3" t="str">
        <f>VLOOKUP($H40,MZA!$E$2:$BJ$112,31,FALSE)</f>
        <v>7.742477552</v>
      </c>
      <c r="Z40" s="3" t="str">
        <f>VLOOKUP($H40,MZA!$E$2:$BJ$112,32,FALSE)</f>
        <v>18.85764929</v>
      </c>
    </row>
    <row r="41" spans="1:26" x14ac:dyDescent="0.25">
      <c r="A41" t="s">
        <v>245</v>
      </c>
      <c r="B41" t="s">
        <v>285</v>
      </c>
      <c r="C41" t="s">
        <v>96</v>
      </c>
      <c r="D41" s="1" t="str">
        <f>VLOOKUP(Zuweisungen!C41,'DIN V 18599-10'!$A$2:$B$47,2,FALSE)</f>
        <v>4</v>
      </c>
      <c r="E41" t="s">
        <v>213</v>
      </c>
      <c r="F41" t="str">
        <f>VLOOKUP(Zuweisungen!E41,'SIA 2024'!$A$2:$C$46,3,FALSE)</f>
        <v>3.3</v>
      </c>
      <c r="G41" t="str">
        <f>VLOOKUP($B41,MZA!$D$2:$D$112,1,FALSE)</f>
        <v>Jugendzentrum</v>
      </c>
      <c r="H41">
        <f>VLOOKUP($B41,MZA!$D$2:$E$112,2,FALSE)</f>
        <v>44</v>
      </c>
      <c r="I41" s="9">
        <f>VLOOKUP(Zuweisungen!D41,'DIN V 18599-10'!$B$2:$F$47,2,FALSE)</f>
        <v>70</v>
      </c>
      <c r="J41" s="9">
        <f>VLOOKUP(Zuweisungen!F41,'SIA 2024'!$C$2:$G$46,2,FALSE)</f>
        <v>70</v>
      </c>
      <c r="K41" s="23" t="str">
        <f>VLOOKUP($H41,MZA!$E$2:$BJ$112,57,FALSE)</f>
        <v>71.85642966</v>
      </c>
      <c r="L41" s="19" t="str">
        <f>VLOOKUP(Zuweisungen!D41,'DIN V 18599-10'!$B$2:$F$47,3,FALSE)</f>
        <v>1</v>
      </c>
      <c r="M41" s="19" t="str">
        <f>VLOOKUP(Zuweisungen!D41,'DIN V 18599-10'!$B$2:$F$47,4,FALSE)</f>
        <v>2</v>
      </c>
      <c r="N41" s="19" t="str">
        <f>VLOOKUP(Zuweisungen!D41,'DIN V 18599-10'!$B$2:$F$47,5,FALSE)</f>
        <v>3</v>
      </c>
      <c r="O41" s="10">
        <f>VLOOKUP(Zuweisungen!F41,'SIA 2024'!$C$2:$G$46,4,FALSE)</f>
        <v>1</v>
      </c>
      <c r="P41" s="11">
        <f>VLOOKUP(Zuweisungen!F41,'SIA 2024'!$C$2:$G$46,3,FALSE)</f>
        <v>2</v>
      </c>
      <c r="Q41" s="12">
        <f>VLOOKUP(Zuweisungen!F41,'SIA 2024'!$C$2:$G$46,5,FALSE)</f>
        <v>3</v>
      </c>
      <c r="R41" s="24" t="str">
        <f>VLOOKUP($H41,MZA!$E$2:$BJ$112,58,FALSE)</f>
        <v>9.563491424</v>
      </c>
      <c r="S41" s="24" t="str">
        <f>VLOOKUP($H41,MZA!$E$2:$BJ$112,58,FALSE)</f>
        <v>9.563491424</v>
      </c>
      <c r="T41" s="24" t="str">
        <f>VLOOKUP($H41,MZA!$E$2:$BJ$112,58,FALSE)</f>
        <v>9.563491424</v>
      </c>
      <c r="U41">
        <f>VLOOKUP(Zuweisungen!D41,'DIN V 18599-10'!$B$2:$H$47,6,FALSE)</f>
        <v>7</v>
      </c>
      <c r="V41">
        <f>VLOOKUP(Zuweisungen!D41,'DIN V 18599-10'!$B$2:$H$47,7,FALSE)</f>
        <v>18</v>
      </c>
      <c r="W41">
        <f>VLOOKUP(Zuweisungen!F41,'SIA 2024'!$C$2:$I$46,6,FALSE)</f>
        <v>9</v>
      </c>
      <c r="X41">
        <f>VLOOKUP(Zuweisungen!F41,'SIA 2024'!$C$2:$I$46,7,FALSE)</f>
        <v>17</v>
      </c>
      <c r="Y41" s="3" t="str">
        <f>VLOOKUP($H41,MZA!$E$2:$BJ$112,31,FALSE)</f>
        <v>7.742477552</v>
      </c>
      <c r="Z41" s="3" t="str">
        <f>VLOOKUP($H41,MZA!$E$2:$BJ$112,32,FALSE)</f>
        <v>18.85764929</v>
      </c>
    </row>
    <row r="42" spans="1:26" x14ac:dyDescent="0.25">
      <c r="A42" t="s">
        <v>8</v>
      </c>
      <c r="B42" t="s">
        <v>286</v>
      </c>
      <c r="C42" t="s">
        <v>144</v>
      </c>
      <c r="D42" s="1" t="str">
        <f>VLOOKUP(Zuweisungen!C42,'DIN V 18599-10'!$A$2:$B$47,2,FALSE)</f>
        <v>29</v>
      </c>
      <c r="E42" t="s">
        <v>56</v>
      </c>
      <c r="F42" t="str">
        <f>VLOOKUP(Zuweisungen!E42,'SIA 2024'!$A$2:$C$46,3,FALSE)</f>
        <v>4.3</v>
      </c>
      <c r="G42" t="str">
        <f>VLOOKUP($B42,MZA!$D$2:$D$112,1,FALSE)</f>
        <v>Bibliothek/Archiv (einfach, z.B. Stadtbücherei)</v>
      </c>
      <c r="H42">
        <f>VLOOKUP($B42,MZA!$D$2:$E$112,2,FALSE)</f>
        <v>46</v>
      </c>
      <c r="I42" s="9" t="str">
        <f>VLOOKUP(Zuweisungen!D42,'DIN V 18599-10'!$B$2:$F$47,2,FALSE)</f>
        <v>70</v>
      </c>
      <c r="J42" s="9">
        <f>VLOOKUP(Zuweisungen!F42,'SIA 2024'!$C$2:$G$46,2,FALSE)</f>
        <v>70</v>
      </c>
      <c r="K42" s="23" t="str">
        <f>VLOOKUP($H42,MZA!$E$2:$BJ$112,57,FALSE)</f>
        <v>70.19092635</v>
      </c>
      <c r="L42" s="19" t="str">
        <f>VLOOKUP(Zuweisungen!D42,'DIN V 18599-10'!$B$2:$F$47,3,FALSE)</f>
        <v>0</v>
      </c>
      <c r="M42" s="19" t="str">
        <f>VLOOKUP(Zuweisungen!D42,'DIN V 18599-10'!$B$2:$F$47,4,FALSE)</f>
        <v>0</v>
      </c>
      <c r="N42" s="19" t="str">
        <f>VLOOKUP(Zuweisungen!D42,'DIN V 18599-10'!$B$2:$F$47,5,FALSE)</f>
        <v>0</v>
      </c>
      <c r="O42" s="10">
        <f>VLOOKUP(Zuweisungen!F42,'SIA 2024'!$C$2:$G$46,4,FALSE)</f>
        <v>1</v>
      </c>
      <c r="P42" s="11">
        <f>VLOOKUP(Zuweisungen!F42,'SIA 2024'!$C$2:$G$46,3,FALSE)</f>
        <v>2</v>
      </c>
      <c r="Q42" s="12">
        <f>VLOOKUP(Zuweisungen!F42,'SIA 2024'!$C$2:$G$46,5,FALSE)</f>
        <v>3</v>
      </c>
      <c r="R42" s="24" t="str">
        <f>VLOOKUP($H42,MZA!$E$2:$BJ$112,58,FALSE)</f>
        <v>1.54019502</v>
      </c>
      <c r="S42" s="24" t="str">
        <f>VLOOKUP($H42,MZA!$E$2:$BJ$112,58,FALSE)</f>
        <v>1.54019502</v>
      </c>
      <c r="T42" s="24" t="str">
        <f>VLOOKUP($H42,MZA!$E$2:$BJ$112,58,FALSE)</f>
        <v>1.54019502</v>
      </c>
      <c r="U42">
        <f>VLOOKUP(Zuweisungen!D42,'DIN V 18599-10'!$B$2:$H$47,6,FALSE)</f>
        <v>8</v>
      </c>
      <c r="V42">
        <f>VLOOKUP(Zuweisungen!D42,'DIN V 18599-10'!$B$2:$H$47,7,FALSE)</f>
        <v>20</v>
      </c>
      <c r="W42">
        <f>VLOOKUP(Zuweisungen!F42,'SIA 2024'!$C$2:$I$46,6,FALSE)</f>
        <v>7</v>
      </c>
      <c r="X42">
        <f>VLOOKUP(Zuweisungen!F42,'SIA 2024'!$C$2:$I$46,7,FALSE)</f>
        <v>18</v>
      </c>
      <c r="Y42" s="3" t="str">
        <f>VLOOKUP($H42,MZA!$E$2:$BJ$112,31,FALSE)</f>
        <v>7.487060035</v>
      </c>
      <c r="Z42" s="3" t="str">
        <f>VLOOKUP($H42,MZA!$E$2:$BJ$112,32,FALSE)</f>
        <v>18.90352562</v>
      </c>
    </row>
    <row r="43" spans="1:26" x14ac:dyDescent="0.25">
      <c r="A43" t="s">
        <v>8</v>
      </c>
      <c r="B43" t="s">
        <v>287</v>
      </c>
      <c r="C43" t="s">
        <v>143</v>
      </c>
      <c r="D43" s="1" t="str">
        <f>VLOOKUP(Zuweisungen!C43,'DIN V 18599-10'!$A$2:$B$47,2,FALSE)</f>
        <v>28</v>
      </c>
      <c r="E43" t="s">
        <v>56</v>
      </c>
      <c r="F43" t="str">
        <f>VLOOKUP(Zuweisungen!E43,'SIA 2024'!$A$2:$C$46,3,FALSE)</f>
        <v>4.3</v>
      </c>
      <c r="G43" t="str">
        <f>VLOOKUP($B43,MZA!$D$2:$D$112,1,FALSE)</f>
        <v>Bibliothek/Archiv (höher technisiert, z.B. Unibibliothek)</v>
      </c>
      <c r="H43">
        <f>VLOOKUP($B43,MZA!$D$2:$E$112,2,FALSE)</f>
        <v>47</v>
      </c>
      <c r="I43" s="9" t="str">
        <f>VLOOKUP(Zuweisungen!D43,'DIN V 18599-10'!$B$2:$F$47,2,FALSE)</f>
        <v>70</v>
      </c>
      <c r="J43" s="9">
        <f>VLOOKUP(Zuweisungen!F43,'SIA 2024'!$C$2:$G$46,2,FALSE)</f>
        <v>70</v>
      </c>
      <c r="K43" s="23" t="str">
        <f>VLOOKUP($H43,MZA!$E$2:$BJ$112,57,FALSE)</f>
        <v>70.19092635</v>
      </c>
      <c r="L43" s="19" t="str">
        <f>VLOOKUP(Zuweisungen!D43,'DIN V 18599-10'!$B$2:$F$47,3,FALSE)</f>
        <v>0</v>
      </c>
      <c r="M43" s="19" t="str">
        <f>VLOOKUP(Zuweisungen!D43,'DIN V 18599-10'!$B$2:$F$47,4,FALSE)</f>
        <v>0</v>
      </c>
      <c r="N43" s="19" t="str">
        <f>VLOOKUP(Zuweisungen!D43,'DIN V 18599-10'!$B$2:$F$47,5,FALSE)</f>
        <v>0</v>
      </c>
      <c r="O43" s="10">
        <f>VLOOKUP(Zuweisungen!F43,'SIA 2024'!$C$2:$G$46,4,FALSE)</f>
        <v>1</v>
      </c>
      <c r="P43" s="11">
        <f>VLOOKUP(Zuweisungen!F43,'SIA 2024'!$C$2:$G$46,3,FALSE)</f>
        <v>2</v>
      </c>
      <c r="Q43" s="12">
        <f>VLOOKUP(Zuweisungen!F43,'SIA 2024'!$C$2:$G$46,5,FALSE)</f>
        <v>3</v>
      </c>
      <c r="R43" s="24" t="str">
        <f>VLOOKUP($H43,MZA!$E$2:$BJ$112,58,FALSE)</f>
        <v>1.54019502</v>
      </c>
      <c r="S43" s="24" t="str">
        <f>VLOOKUP($H43,MZA!$E$2:$BJ$112,58,FALSE)</f>
        <v>1.54019502</v>
      </c>
      <c r="T43" s="24" t="str">
        <f>VLOOKUP($H43,MZA!$E$2:$BJ$112,58,FALSE)</f>
        <v>1.54019502</v>
      </c>
      <c r="U43">
        <f>VLOOKUP(Zuweisungen!D43,'DIN V 18599-10'!$B$2:$H$47,6,FALSE)</f>
        <v>8</v>
      </c>
      <c r="V43">
        <f>VLOOKUP(Zuweisungen!D43,'DIN V 18599-10'!$B$2:$H$47,7,FALSE)</f>
        <v>20</v>
      </c>
      <c r="W43">
        <f>VLOOKUP(Zuweisungen!F43,'SIA 2024'!$C$2:$I$46,6,FALSE)</f>
        <v>7</v>
      </c>
      <c r="X43">
        <f>VLOOKUP(Zuweisungen!F43,'SIA 2024'!$C$2:$I$46,7,FALSE)</f>
        <v>18</v>
      </c>
      <c r="Y43" s="3" t="str">
        <f>VLOOKUP($H43,MZA!$E$2:$BJ$112,31,FALSE)</f>
        <v>7.487060035</v>
      </c>
      <c r="Z43" s="3" t="str">
        <f>VLOOKUP($H43,MZA!$E$2:$BJ$112,32,FALSE)</f>
        <v>18.90352562</v>
      </c>
    </row>
    <row r="44" spans="1:26" x14ac:dyDescent="0.25">
      <c r="A44" t="s">
        <v>8</v>
      </c>
      <c r="B44" t="s">
        <v>288</v>
      </c>
      <c r="C44" t="s">
        <v>141</v>
      </c>
      <c r="D44" s="1" t="str">
        <f>VLOOKUP(Zuweisungen!C44,'DIN V 18599-10'!$A$2:$B$47,2,FALSE)</f>
        <v>27</v>
      </c>
      <c r="E44" t="s">
        <v>58</v>
      </c>
      <c r="F44" t="str">
        <f>VLOOKUP(Zuweisungen!E44,'SIA 2024'!$A$2:$C$46,3,FALSE)</f>
        <v>7.3</v>
      </c>
      <c r="G44" t="str">
        <f>VLOOKUP($B44,MZA!$D$2:$D$112,1,FALSE)</f>
        <v>Ausstellungsgebäude (Museen, Galerien)</v>
      </c>
      <c r="H44">
        <f>VLOOKUP($B44,MZA!$D$2:$E$112,2,FALSE)</f>
        <v>48</v>
      </c>
      <c r="I44" s="9" t="str">
        <f>VLOOKUP(Zuweisungen!D44,'DIN V 18599-10'!$B$2:$F$47,2,FALSE)</f>
        <v>70</v>
      </c>
      <c r="J44" s="9">
        <f>VLOOKUP(Zuweisungen!F44,'SIA 2024'!$C$2:$G$46,2,FALSE)</f>
        <v>70</v>
      </c>
      <c r="K44" s="23" t="str">
        <f>VLOOKUP($H44,MZA!$E$2:$BJ$112,57,FALSE)</f>
        <v>70.09097202</v>
      </c>
      <c r="L44" s="19" t="str">
        <f>VLOOKUP(Zuweisungen!D44,'DIN V 18599-10'!$B$2:$F$47,3,FALSE)</f>
        <v>0</v>
      </c>
      <c r="M44" s="19" t="str">
        <f>VLOOKUP(Zuweisungen!D44,'DIN V 18599-10'!$B$2:$F$47,4,FALSE)</f>
        <v>0</v>
      </c>
      <c r="N44" s="19" t="str">
        <f>VLOOKUP(Zuweisungen!D44,'DIN V 18599-10'!$B$2:$F$47,5,FALSE)</f>
        <v>0</v>
      </c>
      <c r="O44" s="10">
        <f>VLOOKUP(Zuweisungen!F44,'SIA 2024'!$C$2:$G$46,4,FALSE)</f>
        <v>3</v>
      </c>
      <c r="P44" s="11">
        <f>VLOOKUP(Zuweisungen!F44,'SIA 2024'!$C$2:$G$46,3,FALSE)</f>
        <v>7</v>
      </c>
      <c r="Q44" s="12">
        <f>VLOOKUP(Zuweisungen!F44,'SIA 2024'!$C$2:$G$46,5,FALSE)</f>
        <v>15</v>
      </c>
      <c r="R44" s="24" t="str">
        <f>VLOOKUP($H44,MZA!$E$2:$BJ$112,58,FALSE)</f>
        <v>2.139918916</v>
      </c>
      <c r="S44" s="24" t="str">
        <f>VLOOKUP($H44,MZA!$E$2:$BJ$112,58,FALSE)</f>
        <v>2.139918916</v>
      </c>
      <c r="T44" s="24" t="str">
        <f>VLOOKUP($H44,MZA!$E$2:$BJ$112,58,FALSE)</f>
        <v>2.139918916</v>
      </c>
      <c r="U44">
        <f>VLOOKUP(Zuweisungen!D44,'DIN V 18599-10'!$B$2:$H$47,6,FALSE)</f>
        <v>10</v>
      </c>
      <c r="V44">
        <f>VLOOKUP(Zuweisungen!D44,'DIN V 18599-10'!$B$2:$H$47,7,FALSE)</f>
        <v>18</v>
      </c>
      <c r="W44">
        <f>VLOOKUP(Zuweisungen!F44,'SIA 2024'!$C$2:$I$46,6,FALSE)</f>
        <v>7</v>
      </c>
      <c r="X44">
        <f>VLOOKUP(Zuweisungen!F44,'SIA 2024'!$C$2:$I$46,7,FALSE)</f>
        <v>23</v>
      </c>
      <c r="Y44" s="3" t="str">
        <f>VLOOKUP($H44,MZA!$E$2:$BJ$112,31,FALSE)</f>
        <v>8.012537638</v>
      </c>
      <c r="Z44" s="3" t="str">
        <f>VLOOKUP($H44,MZA!$E$2:$BJ$112,32,FALSE)</f>
        <v>18.53036727</v>
      </c>
    </row>
    <row r="45" spans="1:26" x14ac:dyDescent="0.25">
      <c r="A45" t="s">
        <v>8</v>
      </c>
      <c r="B45" t="s">
        <v>289</v>
      </c>
      <c r="C45" t="s">
        <v>189</v>
      </c>
      <c r="D45" s="1" t="str">
        <f>VLOOKUP(Zuweisungen!C45,'DIN V 18599-10'!$A$2:$B$47,2,FALSE)</f>
        <v>25</v>
      </c>
      <c r="E45" t="s">
        <v>60</v>
      </c>
      <c r="F45" t="str">
        <f>VLOOKUP(Zuweisungen!E45,'SIA 2024'!$A$2:$C$46,3,FALSE)</f>
        <v>7.1</v>
      </c>
      <c r="G45" t="str">
        <f>VLOOKUP($B45,MZA!$D$2:$D$112,1,FALSE)</f>
        <v>Oper, Theater und Veranstaltungshalle, Kino, Konferenzzentrum</v>
      </c>
      <c r="H45">
        <f>VLOOKUP($B45,MZA!$D$2:$E$112,2,FALSE)</f>
        <v>49</v>
      </c>
      <c r="I45" s="9" t="str">
        <f>VLOOKUP(Zuweisungen!D45,'DIN V 18599-10'!$B$2:$F$47,2,FALSE)</f>
        <v>70</v>
      </c>
      <c r="J45" s="9">
        <f>VLOOKUP(Zuweisungen!F45,'SIA 2024'!$C$2:$G$46,2,FALSE)</f>
        <v>70</v>
      </c>
      <c r="K45" s="23" t="str">
        <f>VLOOKUP($H45,MZA!$E$2:$BJ$112,57,FALSE)</f>
        <v>71.33187675</v>
      </c>
      <c r="L45" s="19" t="str">
        <f>VLOOKUP(Zuweisungen!D45,'DIN V 18599-10'!$B$2:$F$47,3,FALSE)</f>
        <v>0</v>
      </c>
      <c r="M45" s="19" t="str">
        <f>VLOOKUP(Zuweisungen!D45,'DIN V 18599-10'!$B$2:$F$47,4,FALSE)</f>
        <v>0</v>
      </c>
      <c r="N45" s="19" t="str">
        <f>VLOOKUP(Zuweisungen!D45,'DIN V 18599-10'!$B$2:$F$47,5,FALSE)</f>
        <v>0</v>
      </c>
      <c r="O45" s="10">
        <f>VLOOKUP(Zuweisungen!F45,'SIA 2024'!$C$2:$G$46,4,FALSE)</f>
        <v>1</v>
      </c>
      <c r="P45" s="11">
        <f>VLOOKUP(Zuweisungen!F45,'SIA 2024'!$C$2:$G$46,3,FALSE)</f>
        <v>2</v>
      </c>
      <c r="Q45" s="12">
        <f>VLOOKUP(Zuweisungen!F45,'SIA 2024'!$C$2:$G$46,5,FALSE)</f>
        <v>3</v>
      </c>
      <c r="R45" s="24" t="str">
        <f>VLOOKUP($H45,MZA!$E$2:$BJ$112,58,FALSE)</f>
        <v>6.039713016</v>
      </c>
      <c r="S45" s="24" t="str">
        <f>VLOOKUP($H45,MZA!$E$2:$BJ$112,58,FALSE)</f>
        <v>6.039713016</v>
      </c>
      <c r="T45" s="24" t="str">
        <f>VLOOKUP($H45,MZA!$E$2:$BJ$112,58,FALSE)</f>
        <v>6.039713016</v>
      </c>
      <c r="U45">
        <f>VLOOKUP(Zuweisungen!D45,'DIN V 18599-10'!$B$2:$H$47,6,FALSE)</f>
        <v>13</v>
      </c>
      <c r="V45">
        <f>VLOOKUP(Zuweisungen!D45,'DIN V 18599-10'!$B$2:$H$47,7,FALSE)</f>
        <v>23</v>
      </c>
      <c r="W45">
        <f>VLOOKUP(Zuweisungen!F45,'SIA 2024'!$C$2:$I$46,6,FALSE)</f>
        <v>12</v>
      </c>
      <c r="X45">
        <f>VLOOKUP(Zuweisungen!F45,'SIA 2024'!$C$2:$I$46,7,FALSE)</f>
        <v>24</v>
      </c>
      <c r="Y45" s="3" t="str">
        <f>VLOOKUP($H45,MZA!$E$2:$BJ$112,31,FALSE)</f>
        <v>8.320926423</v>
      </c>
      <c r="Z45" s="3" t="str">
        <f>VLOOKUP($H45,MZA!$E$2:$BJ$112,32,FALSE)</f>
        <v>19.02160926</v>
      </c>
    </row>
    <row r="46" spans="1:26" x14ac:dyDescent="0.25">
      <c r="A46" t="s">
        <v>8</v>
      </c>
      <c r="B46" t="s">
        <v>9</v>
      </c>
      <c r="C46" t="s">
        <v>96</v>
      </c>
      <c r="D46" s="1" t="str">
        <f>VLOOKUP(Zuweisungen!C46,'DIN V 18599-10'!$A$2:$B$47,2,FALSE)</f>
        <v>4</v>
      </c>
      <c r="E46" t="s">
        <v>213</v>
      </c>
      <c r="F46" t="str">
        <f>VLOOKUP(Zuweisungen!E46,'SIA 2024'!$A$2:$C$46,3,FALSE)</f>
        <v>3.3</v>
      </c>
      <c r="G46" t="str">
        <f>VLOOKUP($B46,MZA!$D$2:$D$112,1,FALSE)</f>
        <v>Freizeit-, Gemeinschafts-, Bürgerhaus</v>
      </c>
      <c r="H46">
        <f>VLOOKUP($B46,MZA!$D$2:$E$112,2,FALSE)</f>
        <v>50</v>
      </c>
      <c r="I46" s="9">
        <f>VLOOKUP(Zuweisungen!D46,'DIN V 18599-10'!$B$2:$F$47,2,FALSE)</f>
        <v>70</v>
      </c>
      <c r="J46" s="9">
        <f>VLOOKUP(Zuweisungen!F46,'SIA 2024'!$C$2:$G$46,2,FALSE)</f>
        <v>70</v>
      </c>
      <c r="K46" s="23" t="str">
        <f>VLOOKUP($H46,MZA!$E$2:$BJ$112,57,FALSE)</f>
        <v>71.85642966</v>
      </c>
      <c r="L46" s="19" t="str">
        <f>VLOOKUP(Zuweisungen!D46,'DIN V 18599-10'!$B$2:$F$47,3,FALSE)</f>
        <v>1</v>
      </c>
      <c r="M46" s="19" t="str">
        <f>VLOOKUP(Zuweisungen!D46,'DIN V 18599-10'!$B$2:$F$47,4,FALSE)</f>
        <v>2</v>
      </c>
      <c r="N46" s="19" t="str">
        <f>VLOOKUP(Zuweisungen!D46,'DIN V 18599-10'!$B$2:$F$47,5,FALSE)</f>
        <v>3</v>
      </c>
      <c r="O46" s="10">
        <f>VLOOKUP(Zuweisungen!F46,'SIA 2024'!$C$2:$G$46,4,FALSE)</f>
        <v>1</v>
      </c>
      <c r="P46" s="11">
        <f>VLOOKUP(Zuweisungen!F46,'SIA 2024'!$C$2:$G$46,3,FALSE)</f>
        <v>2</v>
      </c>
      <c r="Q46" s="12">
        <f>VLOOKUP(Zuweisungen!F46,'SIA 2024'!$C$2:$G$46,5,FALSE)</f>
        <v>3</v>
      </c>
      <c r="R46" s="24" t="str">
        <f>VLOOKUP($H46,MZA!$E$2:$BJ$112,58,FALSE)</f>
        <v>9.563491424</v>
      </c>
      <c r="S46" s="24" t="str">
        <f>VLOOKUP($H46,MZA!$E$2:$BJ$112,58,FALSE)</f>
        <v>9.563491424</v>
      </c>
      <c r="T46" s="24" t="str">
        <f>VLOOKUP($H46,MZA!$E$2:$BJ$112,58,FALSE)</f>
        <v>9.563491424</v>
      </c>
      <c r="U46">
        <f>VLOOKUP(Zuweisungen!D46,'DIN V 18599-10'!$B$2:$H$47,6,FALSE)</f>
        <v>7</v>
      </c>
      <c r="V46">
        <f>VLOOKUP(Zuweisungen!D46,'DIN V 18599-10'!$B$2:$H$47,7,FALSE)</f>
        <v>18</v>
      </c>
      <c r="W46">
        <f>VLOOKUP(Zuweisungen!F46,'SIA 2024'!$C$2:$I$46,6,FALSE)</f>
        <v>9</v>
      </c>
      <c r="X46">
        <f>VLOOKUP(Zuweisungen!F46,'SIA 2024'!$C$2:$I$46,7,FALSE)</f>
        <v>17</v>
      </c>
      <c r="Y46" s="3" t="str">
        <f>VLOOKUP($H46,MZA!$E$2:$BJ$112,31,FALSE)</f>
        <v>7.742477552</v>
      </c>
      <c r="Z46" s="3" t="str">
        <f>VLOOKUP($H46,MZA!$E$2:$BJ$112,32,FALSE)</f>
        <v>18.85764929</v>
      </c>
    </row>
    <row r="47" spans="1:26" x14ac:dyDescent="0.25">
      <c r="A47" t="s">
        <v>8</v>
      </c>
      <c r="B47" t="s">
        <v>10</v>
      </c>
      <c r="C47" t="s">
        <v>96</v>
      </c>
      <c r="D47" s="1" t="str">
        <f>VLOOKUP(Zuweisungen!C47,'DIN V 18599-10'!$A$2:$B$47,2,FALSE)</f>
        <v>4</v>
      </c>
      <c r="E47" t="s">
        <v>58</v>
      </c>
      <c r="F47" t="str">
        <f>VLOOKUP(Zuweisungen!E47,'SIA 2024'!$A$2:$C$46,3,FALSE)</f>
        <v>7.3</v>
      </c>
      <c r="G47" t="str">
        <f>VLOOKUP($B47,MZA!$D$2:$D$112,1,FALSE)</f>
        <v>Spielkasino, -bank, -halle</v>
      </c>
      <c r="H47">
        <f>VLOOKUP($B47,MZA!$D$2:$E$112,2,FALSE)</f>
        <v>51</v>
      </c>
      <c r="I47" s="9">
        <f>VLOOKUP(Zuweisungen!D47,'DIN V 18599-10'!$B$2:$F$47,2,FALSE)</f>
        <v>70</v>
      </c>
      <c r="J47" s="9">
        <f>VLOOKUP(Zuweisungen!F47,'SIA 2024'!$C$2:$G$46,2,FALSE)</f>
        <v>70</v>
      </c>
      <c r="K47" s="23" t="str">
        <f>VLOOKUP($H47,MZA!$E$2:$BJ$112,57,FALSE)</f>
        <v>71.85642966</v>
      </c>
      <c r="L47" s="19" t="str">
        <f>VLOOKUP(Zuweisungen!D47,'DIN V 18599-10'!$B$2:$F$47,3,FALSE)</f>
        <v>1</v>
      </c>
      <c r="M47" s="19" t="str">
        <f>VLOOKUP(Zuweisungen!D47,'DIN V 18599-10'!$B$2:$F$47,4,FALSE)</f>
        <v>2</v>
      </c>
      <c r="N47" s="19" t="str">
        <f>VLOOKUP(Zuweisungen!D47,'DIN V 18599-10'!$B$2:$F$47,5,FALSE)</f>
        <v>3</v>
      </c>
      <c r="O47" s="10">
        <f>VLOOKUP(Zuweisungen!F47,'SIA 2024'!$C$2:$G$46,4,FALSE)</f>
        <v>3</v>
      </c>
      <c r="P47" s="11">
        <f>VLOOKUP(Zuweisungen!F47,'SIA 2024'!$C$2:$G$46,3,FALSE)</f>
        <v>7</v>
      </c>
      <c r="Q47" s="12">
        <f>VLOOKUP(Zuweisungen!F47,'SIA 2024'!$C$2:$G$46,5,FALSE)</f>
        <v>15</v>
      </c>
      <c r="R47" s="24" t="str">
        <f>VLOOKUP($H47,MZA!$E$2:$BJ$112,58,FALSE)</f>
        <v>9.563491424</v>
      </c>
      <c r="S47" s="24" t="str">
        <f>VLOOKUP($H47,MZA!$E$2:$BJ$112,58,FALSE)</f>
        <v>9.563491424</v>
      </c>
      <c r="T47" s="24" t="str">
        <f>VLOOKUP($H47,MZA!$E$2:$BJ$112,58,FALSE)</f>
        <v>9.563491424</v>
      </c>
      <c r="U47">
        <f>VLOOKUP(Zuweisungen!D47,'DIN V 18599-10'!$B$2:$H$47,6,FALSE)</f>
        <v>7</v>
      </c>
      <c r="V47">
        <f>VLOOKUP(Zuweisungen!D47,'DIN V 18599-10'!$B$2:$H$47,7,FALSE)</f>
        <v>18</v>
      </c>
      <c r="W47">
        <f>VLOOKUP(Zuweisungen!F47,'SIA 2024'!$C$2:$I$46,6,FALSE)</f>
        <v>7</v>
      </c>
      <c r="X47">
        <f>VLOOKUP(Zuweisungen!F47,'SIA 2024'!$C$2:$I$46,7,FALSE)</f>
        <v>23</v>
      </c>
      <c r="Y47" s="3" t="str">
        <f>VLOOKUP($H47,MZA!$E$2:$BJ$112,31,FALSE)</f>
        <v>7.742477552</v>
      </c>
      <c r="Z47" s="3" t="str">
        <f>VLOOKUP($H47,MZA!$E$2:$BJ$112,32,FALSE)</f>
        <v>18.85764929</v>
      </c>
    </row>
    <row r="48" spans="1:26" x14ac:dyDescent="0.25">
      <c r="A48" t="s">
        <v>11</v>
      </c>
      <c r="B48" t="s">
        <v>290</v>
      </c>
      <c r="C48" t="s">
        <v>146</v>
      </c>
      <c r="D48" s="1" t="str">
        <f>VLOOKUP(Zuweisungen!C48,'DIN V 18599-10'!$A$2:$B$47,2,FALSE)</f>
        <v>31</v>
      </c>
      <c r="E48" t="s">
        <v>63</v>
      </c>
      <c r="F48" t="str">
        <f>VLOOKUP(Zuweisungen!E48,'SIA 2024'!$A$2:$C$46,3,FALSE)</f>
        <v>11.1</v>
      </c>
      <c r="G48" t="str">
        <f>VLOOKUP($B48,MZA!$D$2:$D$112,1,FALSE)</f>
        <v>Einfeldhalle</v>
      </c>
      <c r="H48">
        <f>VLOOKUP($B48,MZA!$D$2:$E$112,2,FALSE)</f>
        <v>53</v>
      </c>
      <c r="I48" s="9" t="str">
        <f>VLOOKUP(Zuweisungen!D48,'DIN V 18599-10'!$B$2:$F$47,2,FALSE)</f>
        <v>125</v>
      </c>
      <c r="J48" s="9">
        <f>VLOOKUP(Zuweisungen!F48,'SIA 2024'!$C$2:$G$46,2,FALSE)</f>
        <v>120</v>
      </c>
      <c r="K48" s="23" t="str">
        <f>VLOOKUP($H48,MZA!$E$2:$BJ$112,57,FALSE)</f>
        <v>101.6293758</v>
      </c>
      <c r="L48" s="19" t="str">
        <f>VLOOKUP(Zuweisungen!D48,'DIN V 18599-10'!$B$2:$F$47,3,FALSE)</f>
        <v>0</v>
      </c>
      <c r="M48" s="19" t="str">
        <f>VLOOKUP(Zuweisungen!D48,'DIN V 18599-10'!$B$2:$F$47,4,FALSE)</f>
        <v>0</v>
      </c>
      <c r="N48" s="19" t="str">
        <f>VLOOKUP(Zuweisungen!D48,'DIN V 18599-10'!$B$2:$F$47,5,FALSE)</f>
        <v>0</v>
      </c>
      <c r="O48" s="10">
        <f>VLOOKUP(Zuweisungen!F48,'SIA 2024'!$C$2:$G$46,4,FALSE)</f>
        <v>0</v>
      </c>
      <c r="P48" s="11">
        <f>VLOOKUP(Zuweisungen!F48,'SIA 2024'!$C$2:$G$46,3,FALSE)</f>
        <v>0</v>
      </c>
      <c r="Q48" s="12">
        <f>VLOOKUP(Zuweisungen!F48,'SIA 2024'!$C$2:$G$46,5,FALSE)</f>
        <v>0</v>
      </c>
      <c r="R48" s="24" t="str">
        <f>VLOOKUP($H48,MZA!$E$2:$BJ$112,58,FALSE)</f>
        <v>1.640891793</v>
      </c>
      <c r="S48" s="24" t="str">
        <f>VLOOKUP($H48,MZA!$E$2:$BJ$112,58,FALSE)</f>
        <v>1.640891793</v>
      </c>
      <c r="T48" s="24" t="str">
        <f>VLOOKUP($H48,MZA!$E$2:$BJ$112,58,FALSE)</f>
        <v>1.640891793</v>
      </c>
      <c r="U48">
        <f>VLOOKUP(Zuweisungen!D48,'DIN V 18599-10'!$B$2:$H$47,6,FALSE)</f>
        <v>8</v>
      </c>
      <c r="V48">
        <f>VLOOKUP(Zuweisungen!D48,'DIN V 18599-10'!$B$2:$H$47,7,FALSE)</f>
        <v>23</v>
      </c>
      <c r="W48">
        <f>VLOOKUP(Zuweisungen!F48,'SIA 2024'!$C$2:$I$46,6,FALSE)</f>
        <v>7</v>
      </c>
      <c r="X48">
        <f>VLOOKUP(Zuweisungen!F48,'SIA 2024'!$C$2:$I$46,7,FALSE)</f>
        <v>23</v>
      </c>
      <c r="Y48" s="3" t="str">
        <f>VLOOKUP($H48,MZA!$E$2:$BJ$112,31,FALSE)</f>
        <v>7.719526704</v>
      </c>
      <c r="Z48" s="3" t="str">
        <f>VLOOKUP($H48,MZA!$E$2:$BJ$112,32,FALSE)</f>
        <v>21.33175458</v>
      </c>
    </row>
    <row r="49" spans="1:26" x14ac:dyDescent="0.25">
      <c r="A49" t="s">
        <v>11</v>
      </c>
      <c r="B49" t="s">
        <v>291</v>
      </c>
      <c r="C49" t="s">
        <v>146</v>
      </c>
      <c r="D49" s="1" t="str">
        <f>VLOOKUP(Zuweisungen!C49,'DIN V 18599-10'!$A$2:$B$47,2,FALSE)</f>
        <v>31</v>
      </c>
      <c r="E49" t="s">
        <v>63</v>
      </c>
      <c r="F49" t="str">
        <f>VLOOKUP(Zuweisungen!E49,'SIA 2024'!$A$2:$C$46,3,FALSE)</f>
        <v>11.1</v>
      </c>
      <c r="G49" t="str">
        <f>VLOOKUP($B49,MZA!$D$2:$D$112,1,FALSE)</f>
        <v>Mehrfeldhalle</v>
      </c>
      <c r="H49">
        <f>VLOOKUP($B49,MZA!$D$2:$E$112,2,FALSE)</f>
        <v>54</v>
      </c>
      <c r="I49" s="9" t="str">
        <f>VLOOKUP(Zuweisungen!D49,'DIN V 18599-10'!$B$2:$F$47,2,FALSE)</f>
        <v>125</v>
      </c>
      <c r="J49" s="9">
        <f>VLOOKUP(Zuweisungen!F49,'SIA 2024'!$C$2:$G$46,2,FALSE)</f>
        <v>120</v>
      </c>
      <c r="K49" s="23" t="str">
        <f>VLOOKUP($H49,MZA!$E$2:$BJ$112,57,FALSE)</f>
        <v>101.6293758</v>
      </c>
      <c r="L49" s="19" t="str">
        <f>VLOOKUP(Zuweisungen!D49,'DIN V 18599-10'!$B$2:$F$47,3,FALSE)</f>
        <v>0</v>
      </c>
      <c r="M49" s="19" t="str">
        <f>VLOOKUP(Zuweisungen!D49,'DIN V 18599-10'!$B$2:$F$47,4,FALSE)</f>
        <v>0</v>
      </c>
      <c r="N49" s="19" t="str">
        <f>VLOOKUP(Zuweisungen!D49,'DIN V 18599-10'!$B$2:$F$47,5,FALSE)</f>
        <v>0</v>
      </c>
      <c r="O49" s="10">
        <f>VLOOKUP(Zuweisungen!F49,'SIA 2024'!$C$2:$G$46,4,FALSE)</f>
        <v>0</v>
      </c>
      <c r="P49" s="11">
        <f>VLOOKUP(Zuweisungen!F49,'SIA 2024'!$C$2:$G$46,3,FALSE)</f>
        <v>0</v>
      </c>
      <c r="Q49" s="12">
        <f>VLOOKUP(Zuweisungen!F49,'SIA 2024'!$C$2:$G$46,5,FALSE)</f>
        <v>0</v>
      </c>
      <c r="R49" s="24" t="str">
        <f>VLOOKUP($H49,MZA!$E$2:$BJ$112,58,FALSE)</f>
        <v>1.640891793</v>
      </c>
      <c r="S49" s="24" t="str">
        <f>VLOOKUP($H49,MZA!$E$2:$BJ$112,58,FALSE)</f>
        <v>1.640891793</v>
      </c>
      <c r="T49" s="24" t="str">
        <f>VLOOKUP($H49,MZA!$E$2:$BJ$112,58,FALSE)</f>
        <v>1.640891793</v>
      </c>
      <c r="U49">
        <f>VLOOKUP(Zuweisungen!D49,'DIN V 18599-10'!$B$2:$H$47,6,FALSE)</f>
        <v>8</v>
      </c>
      <c r="V49">
        <f>VLOOKUP(Zuweisungen!D49,'DIN V 18599-10'!$B$2:$H$47,7,FALSE)</f>
        <v>23</v>
      </c>
      <c r="W49">
        <f>VLOOKUP(Zuweisungen!F49,'SIA 2024'!$C$2:$I$46,6,FALSE)</f>
        <v>7</v>
      </c>
      <c r="X49">
        <f>VLOOKUP(Zuweisungen!F49,'SIA 2024'!$C$2:$I$46,7,FALSE)</f>
        <v>23</v>
      </c>
      <c r="Y49" s="3" t="str">
        <f>VLOOKUP($H49,MZA!$E$2:$BJ$112,31,FALSE)</f>
        <v>7.719526704</v>
      </c>
      <c r="Z49" s="3" t="str">
        <f>VLOOKUP($H49,MZA!$E$2:$BJ$112,32,FALSE)</f>
        <v>21.33175458</v>
      </c>
    </row>
    <row r="50" spans="1:26" x14ac:dyDescent="0.25">
      <c r="A50" t="s">
        <v>11</v>
      </c>
      <c r="B50" t="s">
        <v>292</v>
      </c>
      <c r="C50" t="s">
        <v>146</v>
      </c>
      <c r="D50" s="1" t="str">
        <f>VLOOKUP(Zuweisungen!C50,'DIN V 18599-10'!$A$2:$B$47,2,FALSE)</f>
        <v>31</v>
      </c>
      <c r="E50" t="s">
        <v>63</v>
      </c>
      <c r="F50" t="str">
        <f>VLOOKUP(Zuweisungen!E50,'SIA 2024'!$A$2:$C$46,3,FALSE)</f>
        <v>11.1</v>
      </c>
      <c r="G50" t="str">
        <f>VLOOKUP($B50,MZA!$D$2:$D$112,1,FALSE)</f>
        <v>Gymnastikhalle</v>
      </c>
      <c r="H50">
        <f>VLOOKUP($B50,MZA!$D$2:$E$112,2,FALSE)</f>
        <v>55</v>
      </c>
      <c r="I50" s="9" t="str">
        <f>VLOOKUP(Zuweisungen!D50,'DIN V 18599-10'!$B$2:$F$47,2,FALSE)</f>
        <v>125</v>
      </c>
      <c r="J50" s="9">
        <f>VLOOKUP(Zuweisungen!F50,'SIA 2024'!$C$2:$G$46,2,FALSE)</f>
        <v>120</v>
      </c>
      <c r="K50" s="23" t="str">
        <f>VLOOKUP($H50,MZA!$E$2:$BJ$112,57,FALSE)</f>
        <v>99.23293051</v>
      </c>
      <c r="L50" s="19" t="str">
        <f>VLOOKUP(Zuweisungen!D50,'DIN V 18599-10'!$B$2:$F$47,3,FALSE)</f>
        <v>0</v>
      </c>
      <c r="M50" s="19" t="str">
        <f>VLOOKUP(Zuweisungen!D50,'DIN V 18599-10'!$B$2:$F$47,4,FALSE)</f>
        <v>0</v>
      </c>
      <c r="N50" s="19" t="str">
        <f>VLOOKUP(Zuweisungen!D50,'DIN V 18599-10'!$B$2:$F$47,5,FALSE)</f>
        <v>0</v>
      </c>
      <c r="O50" s="10">
        <f>VLOOKUP(Zuweisungen!F50,'SIA 2024'!$C$2:$G$46,4,FALSE)</f>
        <v>0</v>
      </c>
      <c r="P50" s="11">
        <f>VLOOKUP(Zuweisungen!F50,'SIA 2024'!$C$2:$G$46,3,FALSE)</f>
        <v>0</v>
      </c>
      <c r="Q50" s="12">
        <f>VLOOKUP(Zuweisungen!F50,'SIA 2024'!$C$2:$G$46,5,FALSE)</f>
        <v>0</v>
      </c>
      <c r="R50" s="24" t="str">
        <f>VLOOKUP($H50,MZA!$E$2:$BJ$112,58,FALSE)</f>
        <v>1.722602345</v>
      </c>
      <c r="S50" s="24" t="str">
        <f>VLOOKUP($H50,MZA!$E$2:$BJ$112,58,FALSE)</f>
        <v>1.722602345</v>
      </c>
      <c r="T50" s="24" t="str">
        <f>VLOOKUP($H50,MZA!$E$2:$BJ$112,58,FALSE)</f>
        <v>1.722602345</v>
      </c>
      <c r="U50">
        <f>VLOOKUP(Zuweisungen!D50,'DIN V 18599-10'!$B$2:$H$47,6,FALSE)</f>
        <v>8</v>
      </c>
      <c r="V50">
        <f>VLOOKUP(Zuweisungen!D50,'DIN V 18599-10'!$B$2:$H$47,7,FALSE)</f>
        <v>23</v>
      </c>
      <c r="W50">
        <f>VLOOKUP(Zuweisungen!F50,'SIA 2024'!$C$2:$I$46,6,FALSE)</f>
        <v>7</v>
      </c>
      <c r="X50">
        <f>VLOOKUP(Zuweisungen!F50,'SIA 2024'!$C$2:$I$46,7,FALSE)</f>
        <v>23</v>
      </c>
      <c r="Y50" s="3" t="str">
        <f>VLOOKUP($H50,MZA!$E$2:$BJ$112,31,FALSE)</f>
        <v>7.703330221</v>
      </c>
      <c r="Z50" s="3" t="str">
        <f>VLOOKUP($H50,MZA!$E$2:$BJ$112,32,FALSE)</f>
        <v>21.18319185</v>
      </c>
    </row>
    <row r="51" spans="1:26" x14ac:dyDescent="0.25">
      <c r="A51" t="s">
        <v>11</v>
      </c>
      <c r="B51" t="s">
        <v>293</v>
      </c>
      <c r="C51" t="s">
        <v>146</v>
      </c>
      <c r="D51" s="1" t="str">
        <f>VLOOKUP(Zuweisungen!C51,'DIN V 18599-10'!$A$2:$B$47,2,FALSE)</f>
        <v>31</v>
      </c>
      <c r="E51" t="s">
        <v>218</v>
      </c>
      <c r="F51" t="str">
        <f>VLOOKUP(Zuweisungen!E51,'SIA 2024'!$A$2:$C$46,3,FALSE)</f>
        <v>7.2</v>
      </c>
      <c r="G51" t="str">
        <f>VLOOKUP($B51,MZA!$D$2:$D$112,1,FALSE)</f>
        <v>Sporthalle mit Mehrzwecknutzung</v>
      </c>
      <c r="H51">
        <f>VLOOKUP($B51,MZA!$D$2:$E$112,2,FALSE)</f>
        <v>56</v>
      </c>
      <c r="I51" s="9" t="str">
        <f>VLOOKUP(Zuweisungen!D51,'DIN V 18599-10'!$B$2:$F$47,2,FALSE)</f>
        <v>125</v>
      </c>
      <c r="J51" s="9">
        <f>VLOOKUP(Zuweisungen!F51,'SIA 2024'!$C$2:$G$46,2,FALSE)</f>
        <v>70</v>
      </c>
      <c r="K51" s="23" t="str">
        <f>VLOOKUP($H51,MZA!$E$2:$BJ$112,57,FALSE)</f>
        <v>99.23293051</v>
      </c>
      <c r="L51" s="19" t="str">
        <f>VLOOKUP(Zuweisungen!D51,'DIN V 18599-10'!$B$2:$F$47,3,FALSE)</f>
        <v>0</v>
      </c>
      <c r="M51" s="19" t="str">
        <f>VLOOKUP(Zuweisungen!D51,'DIN V 18599-10'!$B$2:$F$47,4,FALSE)</f>
        <v>0</v>
      </c>
      <c r="N51" s="19" t="str">
        <f>VLOOKUP(Zuweisungen!D51,'DIN V 18599-10'!$B$2:$F$47,5,FALSE)</f>
        <v>0</v>
      </c>
      <c r="O51" s="10">
        <f>VLOOKUP(Zuweisungen!F51,'SIA 2024'!$C$2:$G$46,4,FALSE)</f>
        <v>2</v>
      </c>
      <c r="P51" s="11">
        <f>VLOOKUP(Zuweisungen!F51,'SIA 2024'!$C$2:$G$46,3,FALSE)</f>
        <v>4</v>
      </c>
      <c r="Q51" s="12">
        <f>VLOOKUP(Zuweisungen!F51,'SIA 2024'!$C$2:$G$46,5,FALSE)</f>
        <v>6</v>
      </c>
      <c r="R51" s="24" t="str">
        <f>VLOOKUP($H51,MZA!$E$2:$BJ$112,58,FALSE)</f>
        <v>1.722602345</v>
      </c>
      <c r="S51" s="24" t="str">
        <f>VLOOKUP($H51,MZA!$E$2:$BJ$112,58,FALSE)</f>
        <v>1.722602345</v>
      </c>
      <c r="T51" s="24" t="str">
        <f>VLOOKUP($H51,MZA!$E$2:$BJ$112,58,FALSE)</f>
        <v>1.722602345</v>
      </c>
      <c r="U51">
        <f>VLOOKUP(Zuweisungen!D51,'DIN V 18599-10'!$B$2:$H$47,6,FALSE)</f>
        <v>8</v>
      </c>
      <c r="V51">
        <f>VLOOKUP(Zuweisungen!D51,'DIN V 18599-10'!$B$2:$H$47,7,FALSE)</f>
        <v>23</v>
      </c>
      <c r="W51">
        <f>VLOOKUP(Zuweisungen!F51,'SIA 2024'!$C$2:$I$46,6,FALSE)</f>
        <v>7</v>
      </c>
      <c r="X51">
        <f>VLOOKUP(Zuweisungen!F51,'SIA 2024'!$C$2:$I$46,7,FALSE)</f>
        <v>23</v>
      </c>
      <c r="Y51" s="3" t="str">
        <f>VLOOKUP($H51,MZA!$E$2:$BJ$112,31,FALSE)</f>
        <v>7.703330221</v>
      </c>
      <c r="Z51" s="3" t="str">
        <f>VLOOKUP($H51,MZA!$E$2:$BJ$112,32,FALSE)</f>
        <v>21.18319185</v>
      </c>
    </row>
    <row r="52" spans="1:26" x14ac:dyDescent="0.25">
      <c r="A52" t="s">
        <v>11</v>
      </c>
      <c r="B52" t="s">
        <v>294</v>
      </c>
      <c r="C52" t="s">
        <v>146</v>
      </c>
      <c r="D52" s="1" t="str">
        <f>VLOOKUP(Zuweisungen!C52,'DIN V 18599-10'!$A$2:$B$47,2,FALSE)</f>
        <v>31</v>
      </c>
      <c r="E52" t="s">
        <v>12</v>
      </c>
      <c r="F52" t="str">
        <f>VLOOKUP(Zuweisungen!E52,'SIA 2024'!$A$2:$C$46,3,FALSE)</f>
        <v>11.3</v>
      </c>
      <c r="G52" t="str">
        <f>VLOOKUP($B52,MZA!$D$2:$D$112,1,FALSE)</f>
        <v>Hallenbad</v>
      </c>
      <c r="H52">
        <f>VLOOKUP($B52,MZA!$D$2:$E$112,2,FALSE)</f>
        <v>57</v>
      </c>
      <c r="I52" s="9" t="str">
        <f>VLOOKUP(Zuweisungen!D52,'DIN V 18599-10'!$B$2:$F$47,2,FALSE)</f>
        <v>125</v>
      </c>
      <c r="J52" s="9">
        <f>VLOOKUP(Zuweisungen!F52,'SIA 2024'!$C$2:$G$46,2,FALSE)</f>
        <v>70</v>
      </c>
      <c r="K52" s="23" t="str">
        <f>VLOOKUP($H52,MZA!$E$2:$BJ$112,57,FALSE)</f>
        <v>89.16103152</v>
      </c>
      <c r="L52" s="19" t="str">
        <f>VLOOKUP(Zuweisungen!D52,'DIN V 18599-10'!$B$2:$F$47,3,FALSE)</f>
        <v>0</v>
      </c>
      <c r="M52" s="19" t="str">
        <f>VLOOKUP(Zuweisungen!D52,'DIN V 18599-10'!$B$2:$F$47,4,FALSE)</f>
        <v>0</v>
      </c>
      <c r="N52" s="19" t="str">
        <f>VLOOKUP(Zuweisungen!D52,'DIN V 18599-10'!$B$2:$F$47,5,FALSE)</f>
        <v>0</v>
      </c>
      <c r="O52" s="10">
        <f>VLOOKUP(Zuweisungen!F52,'SIA 2024'!$C$2:$G$46,4,FALSE)</f>
        <v>1</v>
      </c>
      <c r="P52" s="11">
        <f>VLOOKUP(Zuweisungen!F52,'SIA 2024'!$C$2:$G$46,3,FALSE)</f>
        <v>2</v>
      </c>
      <c r="Q52" s="12">
        <f>VLOOKUP(Zuweisungen!F52,'SIA 2024'!$C$2:$G$46,5,FALSE)</f>
        <v>3</v>
      </c>
      <c r="R52" s="24" t="str">
        <f>VLOOKUP($H52,MZA!$E$2:$BJ$112,58,FALSE)</f>
        <v>4.804756447</v>
      </c>
      <c r="S52" s="24" t="str">
        <f>VLOOKUP($H52,MZA!$E$2:$BJ$112,58,FALSE)</f>
        <v>4.804756447</v>
      </c>
      <c r="T52" s="24" t="str">
        <f>VLOOKUP($H52,MZA!$E$2:$BJ$112,58,FALSE)</f>
        <v>4.804756447</v>
      </c>
      <c r="U52">
        <f>VLOOKUP(Zuweisungen!D52,'DIN V 18599-10'!$B$2:$H$47,6,FALSE)</f>
        <v>8</v>
      </c>
      <c r="V52">
        <f>VLOOKUP(Zuweisungen!D52,'DIN V 18599-10'!$B$2:$H$47,7,FALSE)</f>
        <v>23</v>
      </c>
      <c r="W52">
        <f>VLOOKUP(Zuweisungen!F52,'SIA 2024'!$C$2:$I$46,6,FALSE)</f>
        <v>7</v>
      </c>
      <c r="X52">
        <f>VLOOKUP(Zuweisungen!F52,'SIA 2024'!$C$2:$I$46,7,FALSE)</f>
        <v>23</v>
      </c>
      <c r="Y52" s="3" t="str">
        <f>VLOOKUP($H52,MZA!$E$2:$BJ$112,31,FALSE)</f>
        <v>7.732628413</v>
      </c>
      <c r="Z52" s="3" t="str">
        <f>VLOOKUP($H52,MZA!$E$2:$BJ$112,32,FALSE)</f>
        <v>20.58016215</v>
      </c>
    </row>
    <row r="53" spans="1:26" x14ac:dyDescent="0.25">
      <c r="A53" t="s">
        <v>11</v>
      </c>
      <c r="B53" t="s">
        <v>295</v>
      </c>
      <c r="C53" t="s">
        <v>146</v>
      </c>
      <c r="D53" s="1" t="str">
        <f>VLOOKUP(Zuweisungen!C53,'DIN V 18599-10'!$A$2:$B$47,2,FALSE)</f>
        <v>31</v>
      </c>
      <c r="E53" t="s">
        <v>12</v>
      </c>
      <c r="F53" t="str">
        <f>VLOOKUP(Zuweisungen!E53,'SIA 2024'!$A$2:$C$46,3,FALSE)</f>
        <v>11.3</v>
      </c>
      <c r="G53" t="str">
        <f>VLOOKUP($B53,MZA!$D$2:$D$112,1,FALSE)</f>
        <v>Spaß- und Freizeitbad</v>
      </c>
      <c r="H53">
        <f>VLOOKUP($B53,MZA!$D$2:$E$112,2,FALSE)</f>
        <v>58</v>
      </c>
      <c r="I53" s="9" t="str">
        <f>VLOOKUP(Zuweisungen!D53,'DIN V 18599-10'!$B$2:$F$47,2,FALSE)</f>
        <v>125</v>
      </c>
      <c r="J53" s="9">
        <f>VLOOKUP(Zuweisungen!F53,'SIA 2024'!$C$2:$G$46,2,FALSE)</f>
        <v>70</v>
      </c>
      <c r="K53" s="23" t="str">
        <f>VLOOKUP($H53,MZA!$E$2:$BJ$112,57,FALSE)</f>
        <v>89.16103152</v>
      </c>
      <c r="L53" s="19" t="str">
        <f>VLOOKUP(Zuweisungen!D53,'DIN V 18599-10'!$B$2:$F$47,3,FALSE)</f>
        <v>0</v>
      </c>
      <c r="M53" s="19" t="str">
        <f>VLOOKUP(Zuweisungen!D53,'DIN V 18599-10'!$B$2:$F$47,4,FALSE)</f>
        <v>0</v>
      </c>
      <c r="N53" s="19" t="str">
        <f>VLOOKUP(Zuweisungen!D53,'DIN V 18599-10'!$B$2:$F$47,5,FALSE)</f>
        <v>0</v>
      </c>
      <c r="O53" s="10">
        <f>VLOOKUP(Zuweisungen!F53,'SIA 2024'!$C$2:$G$46,4,FALSE)</f>
        <v>1</v>
      </c>
      <c r="P53" s="11">
        <f>VLOOKUP(Zuweisungen!F53,'SIA 2024'!$C$2:$G$46,3,FALSE)</f>
        <v>2</v>
      </c>
      <c r="Q53" s="12">
        <f>VLOOKUP(Zuweisungen!F53,'SIA 2024'!$C$2:$G$46,5,FALSE)</f>
        <v>3</v>
      </c>
      <c r="R53" s="24" t="str">
        <f>VLOOKUP($H53,MZA!$E$2:$BJ$112,58,FALSE)</f>
        <v>4.804756447</v>
      </c>
      <c r="S53" s="24" t="str">
        <f>VLOOKUP($H53,MZA!$E$2:$BJ$112,58,FALSE)</f>
        <v>4.804756447</v>
      </c>
      <c r="T53" s="24" t="str">
        <f>VLOOKUP($H53,MZA!$E$2:$BJ$112,58,FALSE)</f>
        <v>4.804756447</v>
      </c>
      <c r="U53">
        <f>VLOOKUP(Zuweisungen!D53,'DIN V 18599-10'!$B$2:$H$47,6,FALSE)</f>
        <v>8</v>
      </c>
      <c r="V53">
        <f>VLOOKUP(Zuweisungen!D53,'DIN V 18599-10'!$B$2:$H$47,7,FALSE)</f>
        <v>23</v>
      </c>
      <c r="W53">
        <f>VLOOKUP(Zuweisungen!F53,'SIA 2024'!$C$2:$I$46,6,FALSE)</f>
        <v>7</v>
      </c>
      <c r="X53">
        <f>VLOOKUP(Zuweisungen!F53,'SIA 2024'!$C$2:$I$46,7,FALSE)</f>
        <v>23</v>
      </c>
      <c r="Y53" s="3" t="str">
        <f>VLOOKUP($H53,MZA!$E$2:$BJ$112,31,FALSE)</f>
        <v>7.732628413</v>
      </c>
      <c r="Z53" s="3" t="str">
        <f>VLOOKUP($H53,MZA!$E$2:$BJ$112,32,FALSE)</f>
        <v>20.58016215</v>
      </c>
    </row>
    <row r="54" spans="1:26" x14ac:dyDescent="0.25">
      <c r="A54" t="s">
        <v>11</v>
      </c>
      <c r="B54" t="s">
        <v>296</v>
      </c>
      <c r="C54" t="s">
        <v>146</v>
      </c>
      <c r="D54" s="1" t="str">
        <f>VLOOKUP(Zuweisungen!C54,'DIN V 18599-10'!$A$2:$B$47,2,FALSE)</f>
        <v>31</v>
      </c>
      <c r="E54" t="s">
        <v>12</v>
      </c>
      <c r="F54" t="str">
        <f>VLOOKUP(Zuweisungen!E54,'SIA 2024'!$A$2:$C$46,3,FALSE)</f>
        <v>11.3</v>
      </c>
      <c r="G54" t="str">
        <f>VLOOKUP($B54,MZA!$D$2:$D$112,1,FALSE)</f>
        <v>Thermalbad</v>
      </c>
      <c r="H54">
        <f>VLOOKUP($B54,MZA!$D$2:$E$112,2,FALSE)</f>
        <v>59</v>
      </c>
      <c r="I54" s="9" t="str">
        <f>VLOOKUP(Zuweisungen!D54,'DIN V 18599-10'!$B$2:$F$47,2,FALSE)</f>
        <v>125</v>
      </c>
      <c r="J54" s="9">
        <f>VLOOKUP(Zuweisungen!F54,'SIA 2024'!$C$2:$G$46,2,FALSE)</f>
        <v>70</v>
      </c>
      <c r="K54" s="23" t="str">
        <f>VLOOKUP($H54,MZA!$E$2:$BJ$112,57,FALSE)</f>
        <v>89.16103152</v>
      </c>
      <c r="L54" s="19" t="str">
        <f>VLOOKUP(Zuweisungen!D54,'DIN V 18599-10'!$B$2:$F$47,3,FALSE)</f>
        <v>0</v>
      </c>
      <c r="M54" s="19" t="str">
        <f>VLOOKUP(Zuweisungen!D54,'DIN V 18599-10'!$B$2:$F$47,4,FALSE)</f>
        <v>0</v>
      </c>
      <c r="N54" s="19" t="str">
        <f>VLOOKUP(Zuweisungen!D54,'DIN V 18599-10'!$B$2:$F$47,5,FALSE)</f>
        <v>0</v>
      </c>
      <c r="O54" s="10">
        <f>VLOOKUP(Zuweisungen!F54,'SIA 2024'!$C$2:$G$46,4,FALSE)</f>
        <v>1</v>
      </c>
      <c r="P54" s="11">
        <f>VLOOKUP(Zuweisungen!F54,'SIA 2024'!$C$2:$G$46,3,FALSE)</f>
        <v>2</v>
      </c>
      <c r="Q54" s="12">
        <f>VLOOKUP(Zuweisungen!F54,'SIA 2024'!$C$2:$G$46,5,FALSE)</f>
        <v>3</v>
      </c>
      <c r="R54" s="24" t="str">
        <f>VLOOKUP($H54,MZA!$E$2:$BJ$112,58,FALSE)</f>
        <v>4.804756447</v>
      </c>
      <c r="S54" s="24" t="str">
        <f>VLOOKUP($H54,MZA!$E$2:$BJ$112,58,FALSE)</f>
        <v>4.804756447</v>
      </c>
      <c r="T54" s="24" t="str">
        <f>VLOOKUP($H54,MZA!$E$2:$BJ$112,58,FALSE)</f>
        <v>4.804756447</v>
      </c>
      <c r="U54">
        <f>VLOOKUP(Zuweisungen!D54,'DIN V 18599-10'!$B$2:$H$47,6,FALSE)</f>
        <v>8</v>
      </c>
      <c r="V54">
        <f>VLOOKUP(Zuweisungen!D54,'DIN V 18599-10'!$B$2:$H$47,7,FALSE)</f>
        <v>23</v>
      </c>
      <c r="W54">
        <f>VLOOKUP(Zuweisungen!F54,'SIA 2024'!$C$2:$I$46,6,FALSE)</f>
        <v>7</v>
      </c>
      <c r="X54">
        <f>VLOOKUP(Zuweisungen!F54,'SIA 2024'!$C$2:$I$46,7,FALSE)</f>
        <v>23</v>
      </c>
      <c r="Y54" s="3" t="str">
        <f>VLOOKUP($H54,MZA!$E$2:$BJ$112,31,FALSE)</f>
        <v>7.732628413</v>
      </c>
      <c r="Z54" s="3" t="str">
        <f>VLOOKUP($H54,MZA!$E$2:$BJ$112,32,FALSE)</f>
        <v>20.58016215</v>
      </c>
    </row>
    <row r="55" spans="1:26" x14ac:dyDescent="0.25">
      <c r="A55" t="s">
        <v>11</v>
      </c>
      <c r="B55" t="s">
        <v>297</v>
      </c>
      <c r="C55" t="s">
        <v>146</v>
      </c>
      <c r="D55" s="1" t="str">
        <f>VLOOKUP(Zuweisungen!C55,'DIN V 18599-10'!$A$2:$B$47,2,FALSE)</f>
        <v>31</v>
      </c>
      <c r="E55" t="s">
        <v>12</v>
      </c>
      <c r="F55" t="str">
        <f>VLOOKUP(Zuweisungen!E55,'SIA 2024'!$A$2:$C$46,3,FALSE)</f>
        <v>11.3</v>
      </c>
      <c r="G55" t="str">
        <f>VLOOKUP($B55,MZA!$D$2:$D$112,1,FALSE)</f>
        <v>Hallenbad mit Freibadanlage</v>
      </c>
      <c r="H55">
        <f>VLOOKUP($B55,MZA!$D$2:$E$112,2,FALSE)</f>
        <v>60</v>
      </c>
      <c r="I55" s="9" t="str">
        <f>VLOOKUP(Zuweisungen!D55,'DIN V 18599-10'!$B$2:$F$47,2,FALSE)</f>
        <v>125</v>
      </c>
      <c r="J55" s="9">
        <f>VLOOKUP(Zuweisungen!F55,'SIA 2024'!$C$2:$G$46,2,FALSE)</f>
        <v>70</v>
      </c>
      <c r="K55" s="23" t="str">
        <f>VLOOKUP($H55,MZA!$E$2:$BJ$112,57,FALSE)</f>
        <v>89.16103152</v>
      </c>
      <c r="L55" s="19" t="str">
        <f>VLOOKUP(Zuweisungen!D55,'DIN V 18599-10'!$B$2:$F$47,3,FALSE)</f>
        <v>0</v>
      </c>
      <c r="M55" s="19" t="str">
        <f>VLOOKUP(Zuweisungen!D55,'DIN V 18599-10'!$B$2:$F$47,4,FALSE)</f>
        <v>0</v>
      </c>
      <c r="N55" s="19" t="str">
        <f>VLOOKUP(Zuweisungen!D55,'DIN V 18599-10'!$B$2:$F$47,5,FALSE)</f>
        <v>0</v>
      </c>
      <c r="O55" s="10">
        <f>VLOOKUP(Zuweisungen!F55,'SIA 2024'!$C$2:$G$46,4,FALSE)</f>
        <v>1</v>
      </c>
      <c r="P55" s="11">
        <f>VLOOKUP(Zuweisungen!F55,'SIA 2024'!$C$2:$G$46,3,FALSE)</f>
        <v>2</v>
      </c>
      <c r="Q55" s="12">
        <f>VLOOKUP(Zuweisungen!F55,'SIA 2024'!$C$2:$G$46,5,FALSE)</f>
        <v>3</v>
      </c>
      <c r="R55" s="24" t="str">
        <f>VLOOKUP($H55,MZA!$E$2:$BJ$112,58,FALSE)</f>
        <v>4.804756447</v>
      </c>
      <c r="S55" s="24" t="str">
        <f>VLOOKUP($H55,MZA!$E$2:$BJ$112,58,FALSE)</f>
        <v>4.804756447</v>
      </c>
      <c r="T55" s="24" t="str">
        <f>VLOOKUP($H55,MZA!$E$2:$BJ$112,58,FALSE)</f>
        <v>4.804756447</v>
      </c>
      <c r="U55">
        <f>VLOOKUP(Zuweisungen!D55,'DIN V 18599-10'!$B$2:$H$47,6,FALSE)</f>
        <v>8</v>
      </c>
      <c r="V55">
        <f>VLOOKUP(Zuweisungen!D55,'DIN V 18599-10'!$B$2:$H$47,7,FALSE)</f>
        <v>23</v>
      </c>
      <c r="W55">
        <f>VLOOKUP(Zuweisungen!F55,'SIA 2024'!$C$2:$I$46,6,FALSE)</f>
        <v>7</v>
      </c>
      <c r="X55">
        <f>VLOOKUP(Zuweisungen!F55,'SIA 2024'!$C$2:$I$46,7,FALSE)</f>
        <v>23</v>
      </c>
      <c r="Y55" s="3" t="str">
        <f>VLOOKUP($H55,MZA!$E$2:$BJ$112,31,FALSE)</f>
        <v>7.732628413</v>
      </c>
      <c r="Z55" s="3" t="str">
        <f>VLOOKUP($H55,MZA!$E$2:$BJ$112,32,FALSE)</f>
        <v>20.58016215</v>
      </c>
    </row>
    <row r="56" spans="1:26" x14ac:dyDescent="0.25">
      <c r="A56" t="s">
        <v>11</v>
      </c>
      <c r="B56" t="s">
        <v>298</v>
      </c>
      <c r="C56" t="s">
        <v>146</v>
      </c>
      <c r="D56" s="1" t="str">
        <f>VLOOKUP(Zuweisungen!C56,'DIN V 18599-10'!$A$2:$B$47,2,FALSE)</f>
        <v>31</v>
      </c>
      <c r="E56" t="s">
        <v>63</v>
      </c>
      <c r="F56" t="str">
        <f>VLOOKUP(Zuweisungen!E56,'SIA 2024'!$A$2:$C$46,3,FALSE)</f>
        <v>11.1</v>
      </c>
      <c r="G56" t="str">
        <f>VLOOKUP($B56,MZA!$D$2:$D$112,1,FALSE)</f>
        <v>Kegelbahn/Bowling</v>
      </c>
      <c r="H56">
        <f>VLOOKUP($B56,MZA!$D$2:$E$112,2,FALSE)</f>
        <v>61</v>
      </c>
      <c r="I56" s="9" t="str">
        <f>VLOOKUP(Zuweisungen!D56,'DIN V 18599-10'!$B$2:$F$47,2,FALSE)</f>
        <v>125</v>
      </c>
      <c r="J56" s="9">
        <f>VLOOKUP(Zuweisungen!F56,'SIA 2024'!$C$2:$G$46,2,FALSE)</f>
        <v>120</v>
      </c>
      <c r="K56" s="23" t="str">
        <f>VLOOKUP($H56,MZA!$E$2:$BJ$112,57,FALSE)</f>
        <v>99.23293051</v>
      </c>
      <c r="L56" s="19" t="str">
        <f>VLOOKUP(Zuweisungen!D56,'DIN V 18599-10'!$B$2:$F$47,3,FALSE)</f>
        <v>0</v>
      </c>
      <c r="M56" s="19" t="str">
        <f>VLOOKUP(Zuweisungen!D56,'DIN V 18599-10'!$B$2:$F$47,4,FALSE)</f>
        <v>0</v>
      </c>
      <c r="N56" s="19" t="str">
        <f>VLOOKUP(Zuweisungen!D56,'DIN V 18599-10'!$B$2:$F$47,5,FALSE)</f>
        <v>0</v>
      </c>
      <c r="O56" s="10">
        <f>VLOOKUP(Zuweisungen!F56,'SIA 2024'!$C$2:$G$46,4,FALSE)</f>
        <v>0</v>
      </c>
      <c r="P56" s="11">
        <f>VLOOKUP(Zuweisungen!F56,'SIA 2024'!$C$2:$G$46,3,FALSE)</f>
        <v>0</v>
      </c>
      <c r="Q56" s="12">
        <f>VLOOKUP(Zuweisungen!F56,'SIA 2024'!$C$2:$G$46,5,FALSE)</f>
        <v>0</v>
      </c>
      <c r="R56" s="24" t="str">
        <f>VLOOKUP($H56,MZA!$E$2:$BJ$112,58,FALSE)</f>
        <v>1.722602345</v>
      </c>
      <c r="S56" s="24" t="str">
        <f>VLOOKUP($H56,MZA!$E$2:$BJ$112,58,FALSE)</f>
        <v>1.722602345</v>
      </c>
      <c r="T56" s="24" t="str">
        <f>VLOOKUP($H56,MZA!$E$2:$BJ$112,58,FALSE)</f>
        <v>1.722602345</v>
      </c>
      <c r="U56">
        <f>VLOOKUP(Zuweisungen!D56,'DIN V 18599-10'!$B$2:$H$47,6,FALSE)</f>
        <v>8</v>
      </c>
      <c r="V56">
        <f>VLOOKUP(Zuweisungen!D56,'DIN V 18599-10'!$B$2:$H$47,7,FALSE)</f>
        <v>23</v>
      </c>
      <c r="W56">
        <f>VLOOKUP(Zuweisungen!F56,'SIA 2024'!$C$2:$I$46,6,FALSE)</f>
        <v>7</v>
      </c>
      <c r="X56">
        <f>VLOOKUP(Zuweisungen!F56,'SIA 2024'!$C$2:$I$46,7,FALSE)</f>
        <v>23</v>
      </c>
      <c r="Y56" s="3" t="str">
        <f>VLOOKUP($H56,MZA!$E$2:$BJ$112,31,FALSE)</f>
        <v>7.703330221</v>
      </c>
      <c r="Z56" s="3" t="str">
        <f>VLOOKUP($H56,MZA!$E$2:$BJ$112,32,FALSE)</f>
        <v>21.18319185</v>
      </c>
    </row>
    <row r="57" spans="1:26" x14ac:dyDescent="0.25">
      <c r="A57" t="s">
        <v>11</v>
      </c>
      <c r="B57" t="s">
        <v>299</v>
      </c>
      <c r="C57" t="s">
        <v>146</v>
      </c>
      <c r="D57" s="1" t="str">
        <f>VLOOKUP(Zuweisungen!C57,'DIN V 18599-10'!$A$2:$B$47,2,FALSE)</f>
        <v>31</v>
      </c>
      <c r="E57" t="s">
        <v>73</v>
      </c>
      <c r="F57" t="str">
        <f>VLOOKUP(Zuweisungen!E57,'SIA 2024'!$A$2:$C$46,3,FALSE)</f>
        <v>10.1</v>
      </c>
      <c r="G57" t="str">
        <f>VLOOKUP($B57,MZA!$D$2:$D$112,1,FALSE)</f>
        <v>Schießstand</v>
      </c>
      <c r="H57">
        <f>VLOOKUP($B57,MZA!$D$2:$E$112,2,FALSE)</f>
        <v>62</v>
      </c>
      <c r="I57" s="9" t="str">
        <f>VLOOKUP(Zuweisungen!D57,'DIN V 18599-10'!$B$2:$F$47,2,FALSE)</f>
        <v>125</v>
      </c>
      <c r="J57" s="9">
        <f>VLOOKUP(Zuweisungen!F57,'SIA 2024'!$C$2:$G$46,2,FALSE)</f>
        <v>90</v>
      </c>
      <c r="K57" s="23" t="str">
        <f>VLOOKUP($H57,MZA!$E$2:$BJ$112,57,FALSE)</f>
        <v>99.23293051</v>
      </c>
      <c r="L57" s="19" t="str">
        <f>VLOOKUP(Zuweisungen!D57,'DIN V 18599-10'!$B$2:$F$47,3,FALSE)</f>
        <v>0</v>
      </c>
      <c r="M57" s="19" t="str">
        <f>VLOOKUP(Zuweisungen!D57,'DIN V 18599-10'!$B$2:$F$47,4,FALSE)</f>
        <v>0</v>
      </c>
      <c r="N57" s="19" t="str">
        <f>VLOOKUP(Zuweisungen!D57,'DIN V 18599-10'!$B$2:$F$47,5,FALSE)</f>
        <v>0</v>
      </c>
      <c r="O57" s="10">
        <f>VLOOKUP(Zuweisungen!F57,'SIA 2024'!$C$2:$G$46,4,FALSE)</f>
        <v>0</v>
      </c>
      <c r="P57" s="11">
        <f>VLOOKUP(Zuweisungen!F57,'SIA 2024'!$C$2:$G$46,3,FALSE)</f>
        <v>0</v>
      </c>
      <c r="Q57" s="12">
        <f>VLOOKUP(Zuweisungen!F57,'SIA 2024'!$C$2:$G$46,5,FALSE)</f>
        <v>0</v>
      </c>
      <c r="R57" s="24" t="str">
        <f>VLOOKUP($H57,MZA!$E$2:$BJ$112,58,FALSE)</f>
        <v>1.722602345</v>
      </c>
      <c r="S57" s="24" t="str">
        <f>VLOOKUP($H57,MZA!$E$2:$BJ$112,58,FALSE)</f>
        <v>1.722602345</v>
      </c>
      <c r="T57" s="24" t="str">
        <f>VLOOKUP($H57,MZA!$E$2:$BJ$112,58,FALSE)</f>
        <v>1.722602345</v>
      </c>
      <c r="U57">
        <f>VLOOKUP(Zuweisungen!D57,'DIN V 18599-10'!$B$2:$H$47,6,FALSE)</f>
        <v>8</v>
      </c>
      <c r="V57">
        <f>VLOOKUP(Zuweisungen!D57,'DIN V 18599-10'!$B$2:$H$47,7,FALSE)</f>
        <v>23</v>
      </c>
      <c r="W57">
        <f>VLOOKUP(Zuweisungen!F57,'SIA 2024'!$C$2:$I$46,6,FALSE)</f>
        <v>0</v>
      </c>
      <c r="X57">
        <f>VLOOKUP(Zuweisungen!F57,'SIA 2024'!$C$2:$I$46,7,FALSE)</f>
        <v>24</v>
      </c>
      <c r="Y57" s="3" t="str">
        <f>VLOOKUP($H57,MZA!$E$2:$BJ$112,31,FALSE)</f>
        <v>7.703330221</v>
      </c>
      <c r="Z57" s="3" t="str">
        <f>VLOOKUP($H57,MZA!$E$2:$BJ$112,32,FALSE)</f>
        <v>21.18319185</v>
      </c>
    </row>
    <row r="58" spans="1:26" x14ac:dyDescent="0.25">
      <c r="A58" t="s">
        <v>11</v>
      </c>
      <c r="B58" t="s">
        <v>300</v>
      </c>
      <c r="C58" t="s">
        <v>146</v>
      </c>
      <c r="D58" s="1" t="str">
        <f>VLOOKUP(Zuweisungen!C58,'DIN V 18599-10'!$A$2:$B$47,2,FALSE)</f>
        <v>31</v>
      </c>
      <c r="E58" t="s">
        <v>73</v>
      </c>
      <c r="F58" t="str">
        <f>VLOOKUP(Zuweisungen!E58,'SIA 2024'!$A$2:$C$46,3,FALSE)</f>
        <v>10.1</v>
      </c>
      <c r="G58" t="str">
        <f>VLOOKUP($B58,MZA!$D$2:$D$112,1,FALSE)</f>
        <v>Raumschießanlage</v>
      </c>
      <c r="H58">
        <f>VLOOKUP($B58,MZA!$D$2:$E$112,2,FALSE)</f>
        <v>63</v>
      </c>
      <c r="I58" s="9" t="str">
        <f>VLOOKUP(Zuweisungen!D58,'DIN V 18599-10'!$B$2:$F$47,2,FALSE)</f>
        <v>125</v>
      </c>
      <c r="J58" s="9">
        <f>VLOOKUP(Zuweisungen!F58,'SIA 2024'!$C$2:$G$46,2,FALSE)</f>
        <v>90</v>
      </c>
      <c r="K58" s="23" t="str">
        <f>VLOOKUP($H58,MZA!$E$2:$BJ$112,57,FALSE)</f>
        <v>99.23293051</v>
      </c>
      <c r="L58" s="19" t="str">
        <f>VLOOKUP(Zuweisungen!D58,'DIN V 18599-10'!$B$2:$F$47,3,FALSE)</f>
        <v>0</v>
      </c>
      <c r="M58" s="19" t="str">
        <f>VLOOKUP(Zuweisungen!D58,'DIN V 18599-10'!$B$2:$F$47,4,FALSE)</f>
        <v>0</v>
      </c>
      <c r="N58" s="19" t="str">
        <f>VLOOKUP(Zuweisungen!D58,'DIN V 18599-10'!$B$2:$F$47,5,FALSE)</f>
        <v>0</v>
      </c>
      <c r="O58" s="10">
        <f>VLOOKUP(Zuweisungen!F58,'SIA 2024'!$C$2:$G$46,4,FALSE)</f>
        <v>0</v>
      </c>
      <c r="P58" s="11">
        <f>VLOOKUP(Zuweisungen!F58,'SIA 2024'!$C$2:$G$46,3,FALSE)</f>
        <v>0</v>
      </c>
      <c r="Q58" s="12">
        <f>VLOOKUP(Zuweisungen!F58,'SIA 2024'!$C$2:$G$46,5,FALSE)</f>
        <v>0</v>
      </c>
      <c r="R58" s="24" t="str">
        <f>VLOOKUP($H58,MZA!$E$2:$BJ$112,58,FALSE)</f>
        <v>1.722602345</v>
      </c>
      <c r="S58" s="24" t="str">
        <f>VLOOKUP($H58,MZA!$E$2:$BJ$112,58,FALSE)</f>
        <v>1.722602345</v>
      </c>
      <c r="T58" s="24" t="str">
        <f>VLOOKUP($H58,MZA!$E$2:$BJ$112,58,FALSE)</f>
        <v>1.722602345</v>
      </c>
      <c r="U58">
        <f>VLOOKUP(Zuweisungen!D58,'DIN V 18599-10'!$B$2:$H$47,6,FALSE)</f>
        <v>8</v>
      </c>
      <c r="V58">
        <f>VLOOKUP(Zuweisungen!D58,'DIN V 18599-10'!$B$2:$H$47,7,FALSE)</f>
        <v>23</v>
      </c>
      <c r="W58">
        <f>VLOOKUP(Zuweisungen!F58,'SIA 2024'!$C$2:$I$46,6,FALSE)</f>
        <v>0</v>
      </c>
      <c r="X58">
        <f>VLOOKUP(Zuweisungen!F58,'SIA 2024'!$C$2:$I$46,7,FALSE)</f>
        <v>24</v>
      </c>
      <c r="Y58" s="3" t="str">
        <f>VLOOKUP($H58,MZA!$E$2:$BJ$112,31,FALSE)</f>
        <v>7.703330221</v>
      </c>
      <c r="Z58" s="3" t="str">
        <f>VLOOKUP($H58,MZA!$E$2:$BJ$112,32,FALSE)</f>
        <v>21.18319185</v>
      </c>
    </row>
    <row r="59" spans="1:26" x14ac:dyDescent="0.25">
      <c r="A59" t="s">
        <v>11</v>
      </c>
      <c r="B59" t="s">
        <v>301</v>
      </c>
      <c r="C59" t="s">
        <v>329</v>
      </c>
      <c r="D59" s="1" t="str">
        <f>VLOOKUP(Zuweisungen!C59,'DIN V 18599-10'!$A$2:$B$47,2,FALSE)</f>
        <v>41</v>
      </c>
      <c r="E59" t="s">
        <v>73</v>
      </c>
      <c r="F59" t="str">
        <f>VLOOKUP(Zuweisungen!E59,'SIA 2024'!$A$2:$C$46,3,FALSE)</f>
        <v>10.1</v>
      </c>
      <c r="G59" t="str">
        <f>VLOOKUP($B59,MZA!$D$2:$D$112,1,FALSE)</f>
        <v>Reithalle</v>
      </c>
      <c r="H59">
        <f>VLOOKUP($B59,MZA!$D$2:$E$112,2,FALSE)</f>
        <v>64</v>
      </c>
      <c r="I59" s="9" t="str">
        <f>VLOOKUP(Zuweisungen!D59,'DIN V 18599-10'!$B$2:$F$47,2,FALSE)</f>
        <v>70</v>
      </c>
      <c r="J59" s="9">
        <f>VLOOKUP(Zuweisungen!F59,'SIA 2024'!$C$2:$G$46,2,FALSE)</f>
        <v>90</v>
      </c>
      <c r="K59" s="23" t="str">
        <f>VLOOKUP($H59,MZA!$E$2:$BJ$112,57,FALSE)</f>
        <v>72.1516772</v>
      </c>
      <c r="L59" s="19" t="str">
        <f>VLOOKUP(Zuweisungen!D59,'DIN V 18599-10'!$B$2:$F$47,3,FALSE)</f>
        <v>0</v>
      </c>
      <c r="M59" s="19" t="str">
        <f>VLOOKUP(Zuweisungen!D59,'DIN V 18599-10'!$B$2:$F$47,4,FALSE)</f>
        <v>0</v>
      </c>
      <c r="N59" s="19" t="str">
        <f>VLOOKUP(Zuweisungen!D59,'DIN V 18599-10'!$B$2:$F$47,5,FALSE)</f>
        <v>0</v>
      </c>
      <c r="O59" s="10">
        <f>VLOOKUP(Zuweisungen!F59,'SIA 2024'!$C$2:$G$46,4,FALSE)</f>
        <v>0</v>
      </c>
      <c r="P59" s="11">
        <f>VLOOKUP(Zuweisungen!F59,'SIA 2024'!$C$2:$G$46,3,FALSE)</f>
        <v>0</v>
      </c>
      <c r="Q59" s="12">
        <f>VLOOKUP(Zuweisungen!F59,'SIA 2024'!$C$2:$G$46,5,FALSE)</f>
        <v>0</v>
      </c>
      <c r="R59" s="24" t="str">
        <f>VLOOKUP($H59,MZA!$E$2:$BJ$112,58,FALSE)</f>
        <v>2.764673473</v>
      </c>
      <c r="S59" s="24" t="str">
        <f>VLOOKUP($H59,MZA!$E$2:$BJ$112,58,FALSE)</f>
        <v>2.764673473</v>
      </c>
      <c r="T59" s="24" t="str">
        <f>VLOOKUP($H59,MZA!$E$2:$BJ$112,58,FALSE)</f>
        <v>2.764673473</v>
      </c>
      <c r="U59">
        <f>VLOOKUP(Zuweisungen!D59,'DIN V 18599-10'!$B$2:$H$47,6,FALSE)</f>
        <v>0</v>
      </c>
      <c r="V59">
        <f>VLOOKUP(Zuweisungen!D59,'DIN V 18599-10'!$B$2:$H$47,7,FALSE)</f>
        <v>24</v>
      </c>
      <c r="W59">
        <f>VLOOKUP(Zuweisungen!F59,'SIA 2024'!$C$2:$I$46,6,FALSE)</f>
        <v>0</v>
      </c>
      <c r="X59">
        <f>VLOOKUP(Zuweisungen!F59,'SIA 2024'!$C$2:$I$46,7,FALSE)</f>
        <v>24</v>
      </c>
      <c r="Y59" s="3" t="str">
        <f>VLOOKUP($H59,MZA!$E$2:$BJ$112,31,FALSE)</f>
        <v>1.34990564</v>
      </c>
      <c r="Z59" s="3" t="str">
        <f>VLOOKUP($H59,MZA!$E$2:$BJ$112,32,FALSE)</f>
        <v>22.80385853</v>
      </c>
    </row>
    <row r="60" spans="1:26" x14ac:dyDescent="0.25">
      <c r="A60" t="s">
        <v>11</v>
      </c>
      <c r="B60" t="s">
        <v>302</v>
      </c>
      <c r="C60" t="s">
        <v>329</v>
      </c>
      <c r="D60" s="1" t="str">
        <f>VLOOKUP(Zuweisungen!C60,'DIN V 18599-10'!$A$2:$B$47,2,FALSE)</f>
        <v>41</v>
      </c>
      <c r="E60" t="s">
        <v>73</v>
      </c>
      <c r="F60" t="str">
        <f>VLOOKUP(Zuweisungen!E60,'SIA 2024'!$A$2:$C$46,3,FALSE)</f>
        <v>10.1</v>
      </c>
      <c r="G60" t="str">
        <f>VLOOKUP($B60,MZA!$D$2:$D$112,1,FALSE)</f>
        <v>Eissporthalle</v>
      </c>
      <c r="H60">
        <f>VLOOKUP($B60,MZA!$D$2:$E$112,2,FALSE)</f>
        <v>65</v>
      </c>
      <c r="I60" s="9" t="str">
        <f>VLOOKUP(Zuweisungen!D60,'DIN V 18599-10'!$B$2:$F$47,2,FALSE)</f>
        <v>70</v>
      </c>
      <c r="J60" s="9">
        <f>VLOOKUP(Zuweisungen!F60,'SIA 2024'!$C$2:$G$46,2,FALSE)</f>
        <v>90</v>
      </c>
      <c r="K60" s="23" t="str">
        <f>VLOOKUP($H60,MZA!$E$2:$BJ$112,57,FALSE)</f>
        <v>72.1516772</v>
      </c>
      <c r="L60" s="19" t="str">
        <f>VLOOKUP(Zuweisungen!D60,'DIN V 18599-10'!$B$2:$F$47,3,FALSE)</f>
        <v>0</v>
      </c>
      <c r="M60" s="19" t="str">
        <f>VLOOKUP(Zuweisungen!D60,'DIN V 18599-10'!$B$2:$F$47,4,FALSE)</f>
        <v>0</v>
      </c>
      <c r="N60" s="19" t="str">
        <f>VLOOKUP(Zuweisungen!D60,'DIN V 18599-10'!$B$2:$F$47,5,FALSE)</f>
        <v>0</v>
      </c>
      <c r="O60" s="10">
        <f>VLOOKUP(Zuweisungen!F60,'SIA 2024'!$C$2:$G$46,4,FALSE)</f>
        <v>0</v>
      </c>
      <c r="P60" s="11">
        <f>VLOOKUP(Zuweisungen!F60,'SIA 2024'!$C$2:$G$46,3,FALSE)</f>
        <v>0</v>
      </c>
      <c r="Q60" s="12">
        <f>VLOOKUP(Zuweisungen!F60,'SIA 2024'!$C$2:$G$46,5,FALSE)</f>
        <v>0</v>
      </c>
      <c r="R60" s="24" t="str">
        <f>VLOOKUP($H60,MZA!$E$2:$BJ$112,58,FALSE)</f>
        <v>2.764673473</v>
      </c>
      <c r="S60" s="24" t="str">
        <f>VLOOKUP($H60,MZA!$E$2:$BJ$112,58,FALSE)</f>
        <v>2.764673473</v>
      </c>
      <c r="T60" s="24" t="str">
        <f>VLOOKUP($H60,MZA!$E$2:$BJ$112,58,FALSE)</f>
        <v>2.764673473</v>
      </c>
      <c r="U60">
        <f>VLOOKUP(Zuweisungen!D60,'DIN V 18599-10'!$B$2:$H$47,6,FALSE)</f>
        <v>0</v>
      </c>
      <c r="V60">
        <f>VLOOKUP(Zuweisungen!D60,'DIN V 18599-10'!$B$2:$H$47,7,FALSE)</f>
        <v>24</v>
      </c>
      <c r="W60">
        <f>VLOOKUP(Zuweisungen!F60,'SIA 2024'!$C$2:$I$46,6,FALSE)</f>
        <v>0</v>
      </c>
      <c r="X60">
        <f>VLOOKUP(Zuweisungen!F60,'SIA 2024'!$C$2:$I$46,7,FALSE)</f>
        <v>24</v>
      </c>
      <c r="Y60" s="3" t="str">
        <f>VLOOKUP($H60,MZA!$E$2:$BJ$112,31,FALSE)</f>
        <v>1.34990564</v>
      </c>
      <c r="Z60" s="3" t="str">
        <f>VLOOKUP($H60,MZA!$E$2:$BJ$112,32,FALSE)</f>
        <v>22.80385853</v>
      </c>
    </row>
    <row r="61" spans="1:26" x14ac:dyDescent="0.25">
      <c r="A61" t="s">
        <v>11</v>
      </c>
      <c r="B61" t="s">
        <v>303</v>
      </c>
      <c r="C61" t="s">
        <v>146</v>
      </c>
      <c r="D61" s="1" t="str">
        <f>VLOOKUP(Zuweisungen!C61,'DIN V 18599-10'!$A$2:$B$47,2,FALSE)</f>
        <v>31</v>
      </c>
      <c r="E61" t="s">
        <v>63</v>
      </c>
      <c r="F61" t="str">
        <f>VLOOKUP(Zuweisungen!E61,'SIA 2024'!$A$2:$C$46,3,FALSE)</f>
        <v>11.1</v>
      </c>
      <c r="G61" t="str">
        <f>VLOOKUP($B61,MZA!$D$2:$D$112,1,FALSE)</f>
        <v>Tennishalle</v>
      </c>
      <c r="H61">
        <f>VLOOKUP($B61,MZA!$D$2:$E$112,2,FALSE)</f>
        <v>66</v>
      </c>
      <c r="I61" s="9" t="str">
        <f>VLOOKUP(Zuweisungen!D61,'DIN V 18599-10'!$B$2:$F$47,2,FALSE)</f>
        <v>125</v>
      </c>
      <c r="J61" s="9">
        <f>VLOOKUP(Zuweisungen!F61,'SIA 2024'!$C$2:$G$46,2,FALSE)</f>
        <v>120</v>
      </c>
      <c r="K61" s="23" t="str">
        <f>VLOOKUP($H61,MZA!$E$2:$BJ$112,57,FALSE)</f>
        <v>99.23293051</v>
      </c>
      <c r="L61" s="19" t="str">
        <f>VLOOKUP(Zuweisungen!D61,'DIN V 18599-10'!$B$2:$F$47,3,FALSE)</f>
        <v>0</v>
      </c>
      <c r="M61" s="19" t="str">
        <f>VLOOKUP(Zuweisungen!D61,'DIN V 18599-10'!$B$2:$F$47,4,FALSE)</f>
        <v>0</v>
      </c>
      <c r="N61" s="19" t="str">
        <f>VLOOKUP(Zuweisungen!D61,'DIN V 18599-10'!$B$2:$F$47,5,FALSE)</f>
        <v>0</v>
      </c>
      <c r="O61" s="10">
        <f>VLOOKUP(Zuweisungen!F61,'SIA 2024'!$C$2:$G$46,4,FALSE)</f>
        <v>0</v>
      </c>
      <c r="P61" s="11">
        <f>VLOOKUP(Zuweisungen!F61,'SIA 2024'!$C$2:$G$46,3,FALSE)</f>
        <v>0</v>
      </c>
      <c r="Q61" s="12">
        <f>VLOOKUP(Zuweisungen!F61,'SIA 2024'!$C$2:$G$46,5,FALSE)</f>
        <v>0</v>
      </c>
      <c r="R61" s="24" t="str">
        <f>VLOOKUP($H61,MZA!$E$2:$BJ$112,58,FALSE)</f>
        <v>1.722602345</v>
      </c>
      <c r="S61" s="24" t="str">
        <f>VLOOKUP($H61,MZA!$E$2:$BJ$112,58,FALSE)</f>
        <v>1.722602345</v>
      </c>
      <c r="T61" s="24" t="str">
        <f>VLOOKUP($H61,MZA!$E$2:$BJ$112,58,FALSE)</f>
        <v>1.722602345</v>
      </c>
      <c r="U61">
        <f>VLOOKUP(Zuweisungen!D61,'DIN V 18599-10'!$B$2:$H$47,6,FALSE)</f>
        <v>8</v>
      </c>
      <c r="V61">
        <f>VLOOKUP(Zuweisungen!D61,'DIN V 18599-10'!$B$2:$H$47,7,FALSE)</f>
        <v>23</v>
      </c>
      <c r="W61">
        <f>VLOOKUP(Zuweisungen!F61,'SIA 2024'!$C$2:$I$46,6,FALSE)</f>
        <v>7</v>
      </c>
      <c r="X61">
        <f>VLOOKUP(Zuweisungen!F61,'SIA 2024'!$C$2:$I$46,7,FALSE)</f>
        <v>23</v>
      </c>
      <c r="Y61" s="3" t="str">
        <f>VLOOKUP($H61,MZA!$E$2:$BJ$112,31,FALSE)</f>
        <v>7.703330221</v>
      </c>
      <c r="Z61" s="3" t="str">
        <f>VLOOKUP($H61,MZA!$E$2:$BJ$112,32,FALSE)</f>
        <v>21.18319185</v>
      </c>
    </row>
    <row r="62" spans="1:26" x14ac:dyDescent="0.25">
      <c r="A62" t="s">
        <v>11</v>
      </c>
      <c r="B62" t="s">
        <v>13</v>
      </c>
      <c r="C62" t="s">
        <v>14</v>
      </c>
      <c r="D62" s="1" t="str">
        <f>VLOOKUP(Zuweisungen!C62,'DIN V 18599-10'!$A$2:$B$47,2,FALSE)</f>
        <v>35</v>
      </c>
      <c r="E62" t="s">
        <v>14</v>
      </c>
      <c r="F62" t="str">
        <f>VLOOKUP(Zuweisungen!E62,'SIA 2024'!$A$2:$C$46,3,FALSE)</f>
        <v>11.2</v>
      </c>
      <c r="G62" t="str">
        <f>VLOOKUP($B62,MZA!$D$2:$D$112,1,FALSE)</f>
        <v>Fitnessstudio</v>
      </c>
      <c r="H62">
        <f>VLOOKUP($B62,MZA!$D$2:$E$112,2,FALSE)</f>
        <v>67</v>
      </c>
      <c r="I62" s="9" t="str">
        <f>VLOOKUP(Zuweisungen!D62,'DIN V 18599-10'!$B$2:$F$47,2,FALSE)</f>
        <v>110</v>
      </c>
      <c r="J62" s="9">
        <f>VLOOKUP(Zuweisungen!F62,'SIA 2024'!$C$2:$G$46,2,FALSE)</f>
        <v>120</v>
      </c>
      <c r="K62" s="23" t="str">
        <f>VLOOKUP($H62,MZA!$E$2:$BJ$112,57,FALSE)</f>
        <v>91.25309527</v>
      </c>
      <c r="L62" s="19" t="str">
        <f>VLOOKUP(Zuweisungen!D62,'DIN V 18599-10'!$B$2:$F$47,3,FALSE)</f>
        <v>1</v>
      </c>
      <c r="M62" s="19" t="str">
        <f>VLOOKUP(Zuweisungen!D62,'DIN V 18599-10'!$B$2:$F$47,4,FALSE)</f>
        <v>2</v>
      </c>
      <c r="N62" s="19" t="str">
        <f>VLOOKUP(Zuweisungen!D62,'DIN V 18599-10'!$B$2:$F$47,5,FALSE)</f>
        <v>3</v>
      </c>
      <c r="O62" s="10">
        <f>VLOOKUP(Zuweisungen!F62,'SIA 2024'!$C$2:$G$46,4,FALSE)</f>
        <v>1</v>
      </c>
      <c r="P62" s="11">
        <f>VLOOKUP(Zuweisungen!F62,'SIA 2024'!$C$2:$G$46,3,FALSE)</f>
        <v>2</v>
      </c>
      <c r="Q62" s="12">
        <f>VLOOKUP(Zuweisungen!F62,'SIA 2024'!$C$2:$G$46,5,FALSE)</f>
        <v>3</v>
      </c>
      <c r="R62" s="24" t="str">
        <f>VLOOKUP($H62,MZA!$E$2:$BJ$112,58,FALSE)</f>
        <v>10.62996872</v>
      </c>
      <c r="S62" s="24" t="str">
        <f>VLOOKUP($H62,MZA!$E$2:$BJ$112,58,FALSE)</f>
        <v>10.62996872</v>
      </c>
      <c r="T62" s="24" t="str">
        <f>VLOOKUP($H62,MZA!$E$2:$BJ$112,58,FALSE)</f>
        <v>10.62996872</v>
      </c>
      <c r="U62">
        <f>VLOOKUP(Zuweisungen!D62,'DIN V 18599-10'!$B$2:$H$47,6,FALSE)</f>
        <v>8</v>
      </c>
      <c r="V62">
        <f>VLOOKUP(Zuweisungen!D62,'DIN V 18599-10'!$B$2:$H$47,7,FALSE)</f>
        <v>23</v>
      </c>
      <c r="W62">
        <f>VLOOKUP(Zuweisungen!F62,'SIA 2024'!$C$2:$I$46,6,FALSE)</f>
        <v>7</v>
      </c>
      <c r="X62">
        <f>VLOOKUP(Zuweisungen!F62,'SIA 2024'!$C$2:$I$46,7,FALSE)</f>
        <v>23</v>
      </c>
      <c r="Y62" s="3" t="str">
        <f>VLOOKUP($H62,MZA!$E$2:$BJ$112,31,FALSE)</f>
        <v>7.770555736</v>
      </c>
      <c r="Z62" s="3" t="str">
        <f>VLOOKUP($H62,MZA!$E$2:$BJ$112,32,FALSE)</f>
        <v>21.27630218</v>
      </c>
    </row>
    <row r="63" spans="1:26" x14ac:dyDescent="0.25">
      <c r="A63" t="s">
        <v>11</v>
      </c>
      <c r="B63" t="s">
        <v>304</v>
      </c>
      <c r="C63" t="s">
        <v>123</v>
      </c>
      <c r="D63" s="1" t="str">
        <f>VLOOKUP(Zuweisungen!C63,'DIN V 18599-10'!$A$2:$B$47,2,FALSE)</f>
        <v>18</v>
      </c>
      <c r="E63" t="s">
        <v>67</v>
      </c>
      <c r="F63" t="str">
        <f>VLOOKUP(Zuweisungen!E63,'SIA 2024'!$A$2:$C$46,3,FALSE)</f>
        <v>12.8</v>
      </c>
      <c r="G63" t="str">
        <f>VLOOKUP($B63,MZA!$D$2:$D$112,1,FALSE)</f>
        <v>Gebäude für Sportaußenanlage (Tribünen-, Umkleidegebäude)</v>
      </c>
      <c r="H63">
        <f>VLOOKUP($B63,MZA!$D$2:$E$112,2,FALSE)</f>
        <v>68</v>
      </c>
      <c r="I63" s="9" t="str">
        <f>VLOOKUP(Zuweisungen!D63,'DIN V 18599-10'!$B$2:$F$47,2,FALSE)</f>
        <v>70</v>
      </c>
      <c r="J63" s="9">
        <f>VLOOKUP(Zuweisungen!F63,'SIA 2024'!$C$2:$G$46,2,FALSE)</f>
        <v>70</v>
      </c>
      <c r="K63" s="23" t="str">
        <f>VLOOKUP($H63,MZA!$E$2:$BJ$112,57,FALSE)</f>
        <v>71.5759635</v>
      </c>
      <c r="L63" s="19" t="str">
        <f>VLOOKUP(Zuweisungen!D63,'DIN V 18599-10'!$B$2:$F$47,3,FALSE)</f>
        <v>0</v>
      </c>
      <c r="M63" s="19" t="str">
        <f>VLOOKUP(Zuweisungen!D63,'DIN V 18599-10'!$B$2:$F$47,4,FALSE)</f>
        <v>0</v>
      </c>
      <c r="N63" s="19" t="str">
        <f>VLOOKUP(Zuweisungen!D63,'DIN V 18599-10'!$B$2:$F$47,5,FALSE)</f>
        <v>0</v>
      </c>
      <c r="O63" s="10">
        <f>VLOOKUP(Zuweisungen!F63,'SIA 2024'!$C$2:$G$46,4,FALSE)</f>
        <v>0</v>
      </c>
      <c r="P63" s="11">
        <f>VLOOKUP(Zuweisungen!F63,'SIA 2024'!$C$2:$G$46,3,FALSE)</f>
        <v>0</v>
      </c>
      <c r="Q63" s="12">
        <f>VLOOKUP(Zuweisungen!F63,'SIA 2024'!$C$2:$G$46,5,FALSE)</f>
        <v>0</v>
      </c>
      <c r="R63" s="24" t="str">
        <f>VLOOKUP($H63,MZA!$E$2:$BJ$112,58,FALSE)</f>
        <v>7.315357732</v>
      </c>
      <c r="S63" s="24" t="str">
        <f>VLOOKUP($H63,MZA!$E$2:$BJ$112,58,FALSE)</f>
        <v>7.315357732</v>
      </c>
      <c r="T63" s="24" t="str">
        <f>VLOOKUP($H63,MZA!$E$2:$BJ$112,58,FALSE)</f>
        <v>7.315357732</v>
      </c>
      <c r="U63">
        <f>VLOOKUP(Zuweisungen!D63,'DIN V 18599-10'!$B$2:$H$47,6,FALSE)</f>
        <v>7</v>
      </c>
      <c r="V63">
        <f>VLOOKUP(Zuweisungen!D63,'DIN V 18599-10'!$B$2:$H$47,7,FALSE)</f>
        <v>18</v>
      </c>
      <c r="W63">
        <f>VLOOKUP(Zuweisungen!F63,'SIA 2024'!$C$2:$I$46,6,FALSE)</f>
        <v>7</v>
      </c>
      <c r="X63">
        <f>VLOOKUP(Zuweisungen!F63,'SIA 2024'!$C$2:$I$46,7,FALSE)</f>
        <v>18</v>
      </c>
      <c r="Y63" s="3" t="str">
        <f>VLOOKUP($H63,MZA!$E$2:$BJ$112,31,FALSE)</f>
        <v>6.917637742</v>
      </c>
      <c r="Z63" s="3" t="str">
        <f>VLOOKUP($H63,MZA!$E$2:$BJ$112,32,FALSE)</f>
        <v>19.0998383</v>
      </c>
    </row>
    <row r="64" spans="1:26" x14ac:dyDescent="0.25">
      <c r="A64" t="s">
        <v>247</v>
      </c>
      <c r="B64" t="s">
        <v>305</v>
      </c>
      <c r="C64" t="s">
        <v>108</v>
      </c>
      <c r="D64" s="1" t="str">
        <f>VLOOKUP(Zuweisungen!C64,'DIN V 18599-10'!$A$2:$B$47,2,FALSE)</f>
        <v>11</v>
      </c>
      <c r="E64" t="s">
        <v>43</v>
      </c>
      <c r="F64" t="str">
        <f>VLOOKUP(Zuweisungen!E64,'SIA 2024'!$A$2:$C$46,3,FALSE)</f>
        <v>2.1</v>
      </c>
      <c r="G64" t="str">
        <f>VLOOKUP($B64,MZA!$D$2:$D$112,1,FALSE)</f>
        <v>Herberge, Ferienheim, Ferienhaus, Hotel/Pension einfach</v>
      </c>
      <c r="H64">
        <f>VLOOKUP($B64,MZA!$D$2:$E$112,2,FALSE)</f>
        <v>70</v>
      </c>
      <c r="I64" s="9" t="str">
        <f>VLOOKUP(Zuweisungen!D64,'DIN V 18599-10'!$B$2:$F$47,2,FALSE)</f>
        <v>70</v>
      </c>
      <c r="J64" s="9">
        <f>VLOOKUP(Zuweisungen!F64,'SIA 2024'!$C$2:$G$46,2,FALSE)</f>
        <v>70</v>
      </c>
      <c r="K64" s="23" t="str">
        <f>VLOOKUP($H64,MZA!$E$2:$BJ$112,57,FALSE)</f>
        <v>70.53952491</v>
      </c>
      <c r="L64" s="19" t="str">
        <f>VLOOKUP(Zuweisungen!D64,'DIN V 18599-10'!$B$2:$F$47,3,FALSE)</f>
        <v>2</v>
      </c>
      <c r="M64" s="19" t="str">
        <f>VLOOKUP(Zuweisungen!D64,'DIN V 18599-10'!$B$2:$F$47,4,FALSE)</f>
        <v>4</v>
      </c>
      <c r="N64" s="19" t="str">
        <f>VLOOKUP(Zuweisungen!D64,'DIN V 18599-10'!$B$2:$F$47,5,FALSE)</f>
        <v>6</v>
      </c>
      <c r="O64" s="10">
        <f>VLOOKUP(Zuweisungen!F64,'SIA 2024'!$C$2:$G$46,4,FALSE)</f>
        <v>4</v>
      </c>
      <c r="P64" s="11">
        <f>VLOOKUP(Zuweisungen!F64,'SIA 2024'!$C$2:$G$46,3,FALSE)</f>
        <v>8</v>
      </c>
      <c r="Q64" s="12">
        <f>VLOOKUP(Zuweisungen!F64,'SIA 2024'!$C$2:$G$46,5,FALSE)</f>
        <v>10</v>
      </c>
      <c r="R64" s="24" t="str">
        <f>VLOOKUP($H64,MZA!$E$2:$BJ$112,58,FALSE)</f>
        <v>8.297548182</v>
      </c>
      <c r="S64" s="24" t="str">
        <f>VLOOKUP($H64,MZA!$E$2:$BJ$112,58,FALSE)</f>
        <v>8.297548182</v>
      </c>
      <c r="T64" s="24" t="str">
        <f>VLOOKUP($H64,MZA!$E$2:$BJ$112,58,FALSE)</f>
        <v>8.297548182</v>
      </c>
      <c r="U64">
        <f>VLOOKUP(Zuweisungen!D64,'DIN V 18599-10'!$B$2:$H$47,6,FALSE)</f>
        <v>21</v>
      </c>
      <c r="V64">
        <f>VLOOKUP(Zuweisungen!D64,'DIN V 18599-10'!$B$2:$H$47,7,FALSE)</f>
        <v>8</v>
      </c>
      <c r="W64">
        <f>VLOOKUP(Zuweisungen!F64,'SIA 2024'!$C$2:$I$46,6,FALSE)</f>
        <v>17</v>
      </c>
      <c r="X64">
        <f>VLOOKUP(Zuweisungen!F64,'SIA 2024'!$C$2:$I$46,7,FALSE)</f>
        <v>12</v>
      </c>
      <c r="Y64" s="3" t="str">
        <f>VLOOKUP($H64,MZA!$E$2:$BJ$112,31,FALSE)</f>
        <v>2.13968697</v>
      </c>
      <c r="Z64" s="3" t="str">
        <f>VLOOKUP($H64,MZA!$E$2:$BJ$112,32,FALSE)</f>
        <v>14.1161548</v>
      </c>
    </row>
    <row r="65" spans="1:26" x14ac:dyDescent="0.25">
      <c r="A65" t="s">
        <v>247</v>
      </c>
      <c r="B65" t="s">
        <v>3</v>
      </c>
      <c r="C65" t="s">
        <v>108</v>
      </c>
      <c r="D65" s="1" t="str">
        <f>VLOOKUP(Zuweisungen!C65,'DIN V 18599-10'!$A$2:$B$47,2,FALSE)</f>
        <v>11</v>
      </c>
      <c r="E65" t="s">
        <v>43</v>
      </c>
      <c r="F65" t="str">
        <f>VLOOKUP(Zuweisungen!E65,'SIA 2024'!$A$2:$C$46,3,FALSE)</f>
        <v>2.1</v>
      </c>
      <c r="G65" t="str">
        <f>VLOOKUP($B65,MZA!$D$2:$D$112,1,FALSE)</f>
        <v>Sterne-Hotel</v>
      </c>
      <c r="H65">
        <f>VLOOKUP($B65,MZA!$D$2:$E$112,2,FALSE)</f>
        <v>71</v>
      </c>
      <c r="I65" s="9" t="str">
        <f>VLOOKUP(Zuweisungen!D65,'DIN V 18599-10'!$B$2:$F$47,2,FALSE)</f>
        <v>70</v>
      </c>
      <c r="J65" s="9">
        <f>VLOOKUP(Zuweisungen!F65,'SIA 2024'!$C$2:$G$46,2,FALSE)</f>
        <v>70</v>
      </c>
      <c r="K65" s="23" t="str">
        <f>VLOOKUP($H65,MZA!$E$2:$BJ$112,57,FALSE)</f>
        <v>71.22702154</v>
      </c>
      <c r="L65" s="19" t="str">
        <f>VLOOKUP(Zuweisungen!D65,'DIN V 18599-10'!$B$2:$F$47,3,FALSE)</f>
        <v>2</v>
      </c>
      <c r="M65" s="19" t="str">
        <f>VLOOKUP(Zuweisungen!D65,'DIN V 18599-10'!$B$2:$F$47,4,FALSE)</f>
        <v>4</v>
      </c>
      <c r="N65" s="19" t="str">
        <f>VLOOKUP(Zuweisungen!D65,'DIN V 18599-10'!$B$2:$F$47,5,FALSE)</f>
        <v>6</v>
      </c>
      <c r="O65" s="10">
        <f>VLOOKUP(Zuweisungen!F65,'SIA 2024'!$C$2:$G$46,4,FALSE)</f>
        <v>4</v>
      </c>
      <c r="P65" s="11">
        <f>VLOOKUP(Zuweisungen!F65,'SIA 2024'!$C$2:$G$46,3,FALSE)</f>
        <v>8</v>
      </c>
      <c r="Q65" s="12">
        <f>VLOOKUP(Zuweisungen!F65,'SIA 2024'!$C$2:$G$46,5,FALSE)</f>
        <v>10</v>
      </c>
      <c r="R65" s="24" t="str">
        <f>VLOOKUP($H65,MZA!$E$2:$BJ$112,58,FALSE)</f>
        <v>9.609450773</v>
      </c>
      <c r="S65" s="24" t="str">
        <f>VLOOKUP($H65,MZA!$E$2:$BJ$112,58,FALSE)</f>
        <v>9.609450773</v>
      </c>
      <c r="T65" s="24" t="str">
        <f>VLOOKUP($H65,MZA!$E$2:$BJ$112,58,FALSE)</f>
        <v>9.609450773</v>
      </c>
      <c r="U65">
        <f>VLOOKUP(Zuweisungen!D65,'DIN V 18599-10'!$B$2:$H$47,6,FALSE)</f>
        <v>21</v>
      </c>
      <c r="V65">
        <f>VLOOKUP(Zuweisungen!D65,'DIN V 18599-10'!$B$2:$H$47,7,FALSE)</f>
        <v>8</v>
      </c>
      <c r="W65">
        <f>VLOOKUP(Zuweisungen!F65,'SIA 2024'!$C$2:$I$46,6,FALSE)</f>
        <v>17</v>
      </c>
      <c r="X65">
        <f>VLOOKUP(Zuweisungen!F65,'SIA 2024'!$C$2:$I$46,7,FALSE)</f>
        <v>12</v>
      </c>
      <c r="Y65" s="3" t="str">
        <f>VLOOKUP($H65,MZA!$E$2:$BJ$112,31,FALSE)</f>
        <v>2.498110225</v>
      </c>
      <c r="Z65" s="3" t="str">
        <f>VLOOKUP($H65,MZA!$E$2:$BJ$112,32,FALSE)</f>
        <v>13.93944903</v>
      </c>
    </row>
    <row r="66" spans="1:26" x14ac:dyDescent="0.25">
      <c r="A66" t="s">
        <v>247</v>
      </c>
      <c r="B66" t="s">
        <v>306</v>
      </c>
      <c r="C66" t="s">
        <v>112</v>
      </c>
      <c r="D66" s="1" t="str">
        <f>VLOOKUP(Zuweisungen!C66,'DIN V 18599-10'!$A$2:$B$47,2,FALSE)</f>
        <v>13</v>
      </c>
      <c r="E66" t="s">
        <v>45</v>
      </c>
      <c r="F66" t="str">
        <f>VLOOKUP(Zuweisungen!E66,'SIA 2024'!$A$2:$C$46,3,FALSE)</f>
        <v>6.1</v>
      </c>
      <c r="G66" t="str">
        <f>VLOOKUP($B66,MZA!$D$2:$D$112,1,FALSE)</f>
        <v>Ausschankwirtschaft</v>
      </c>
      <c r="H66">
        <f>VLOOKUP($B66,MZA!$D$2:$E$112,2,FALSE)</f>
        <v>72</v>
      </c>
      <c r="I66" s="9" t="str">
        <f>VLOOKUP(Zuweisungen!D66,'DIN V 18599-10'!$B$2:$F$47,2,FALSE)</f>
        <v>70</v>
      </c>
      <c r="J66" s="9">
        <f>VLOOKUP(Zuweisungen!F66,'SIA 2024'!$C$2:$G$46,2,FALSE)</f>
        <v>70</v>
      </c>
      <c r="K66" s="23" t="str">
        <f>VLOOKUP($H66,MZA!$E$2:$BJ$112,57,FALSE)</f>
        <v>72.32018026</v>
      </c>
      <c r="L66" s="19" t="str">
        <f>VLOOKUP(Zuweisungen!D66,'DIN V 18599-10'!$B$2:$F$47,3,FALSE)</f>
        <v>1</v>
      </c>
      <c r="M66" s="19" t="str">
        <f>VLOOKUP(Zuweisungen!D66,'DIN V 18599-10'!$B$2:$F$47,4,FALSE)</f>
        <v>2</v>
      </c>
      <c r="N66" s="19" t="str">
        <f>VLOOKUP(Zuweisungen!D66,'DIN V 18599-10'!$B$2:$F$47,5,FALSE)</f>
        <v>3</v>
      </c>
      <c r="O66" s="10">
        <f>VLOOKUP(Zuweisungen!F66,'SIA 2024'!$C$2:$G$46,4,FALSE)</f>
        <v>1</v>
      </c>
      <c r="P66" s="11">
        <f>VLOOKUP(Zuweisungen!F66,'SIA 2024'!$C$2:$G$46,3,FALSE)</f>
        <v>2</v>
      </c>
      <c r="Q66" s="12">
        <f>VLOOKUP(Zuweisungen!F66,'SIA 2024'!$C$2:$G$46,5,FALSE)</f>
        <v>3</v>
      </c>
      <c r="R66" s="24" t="str">
        <f>VLOOKUP($H66,MZA!$E$2:$BJ$112,58,FALSE)</f>
        <v>30.52703816</v>
      </c>
      <c r="S66" s="24" t="str">
        <f>VLOOKUP($H66,MZA!$E$2:$BJ$112,58,FALSE)</f>
        <v>30.52703816</v>
      </c>
      <c r="T66" s="24" t="str">
        <f>VLOOKUP($H66,MZA!$E$2:$BJ$112,58,FALSE)</f>
        <v>30.52703816</v>
      </c>
      <c r="U66">
        <f>VLOOKUP(Zuweisungen!D66,'DIN V 18599-10'!$B$2:$H$47,6,FALSE)</f>
        <v>10</v>
      </c>
      <c r="V66">
        <f>VLOOKUP(Zuweisungen!D66,'DIN V 18599-10'!$B$2:$H$47,7,FALSE)</f>
        <v>24</v>
      </c>
      <c r="W66">
        <f>VLOOKUP(Zuweisungen!F66,'SIA 2024'!$C$2:$I$46,6,FALSE)</f>
        <v>8</v>
      </c>
      <c r="X66">
        <f>VLOOKUP(Zuweisungen!F66,'SIA 2024'!$C$2:$I$46,7,FALSE)</f>
        <v>24</v>
      </c>
      <c r="Y66" s="3" t="str">
        <f>VLOOKUP($H66,MZA!$E$2:$BJ$112,31,FALSE)</f>
        <v>8.848274092</v>
      </c>
      <c r="Z66" s="3" t="str">
        <f>VLOOKUP($H66,MZA!$E$2:$BJ$112,32,FALSE)</f>
        <v>21.57507083</v>
      </c>
    </row>
    <row r="67" spans="1:26" x14ac:dyDescent="0.25">
      <c r="A67" t="s">
        <v>247</v>
      </c>
      <c r="B67" t="s">
        <v>307</v>
      </c>
      <c r="C67" t="s">
        <v>112</v>
      </c>
      <c r="D67" s="1" t="str">
        <f>VLOOKUP(Zuweisungen!C67,'DIN V 18599-10'!$A$2:$B$47,2,FALSE)</f>
        <v>13</v>
      </c>
      <c r="E67" t="s">
        <v>45</v>
      </c>
      <c r="F67" t="str">
        <f>VLOOKUP(Zuweisungen!E67,'SIA 2024'!$A$2:$C$46,3,FALSE)</f>
        <v>6.1</v>
      </c>
      <c r="G67" t="str">
        <f>VLOOKUP($B67,MZA!$D$2:$D$112,1,FALSE)</f>
        <v>Speisegaststätte (einfach)</v>
      </c>
      <c r="H67">
        <f>VLOOKUP($B67,MZA!$D$2:$E$112,2,FALSE)</f>
        <v>73</v>
      </c>
      <c r="I67" s="9" t="str">
        <f>VLOOKUP(Zuweisungen!D67,'DIN V 18599-10'!$B$2:$F$47,2,FALSE)</f>
        <v>70</v>
      </c>
      <c r="J67" s="9">
        <f>VLOOKUP(Zuweisungen!F67,'SIA 2024'!$C$2:$G$46,2,FALSE)</f>
        <v>70</v>
      </c>
      <c r="K67" s="23" t="str">
        <f>VLOOKUP($H67,MZA!$E$2:$BJ$112,57,FALSE)</f>
        <v>72.32018026</v>
      </c>
      <c r="L67" s="19" t="str">
        <f>VLOOKUP(Zuweisungen!D67,'DIN V 18599-10'!$B$2:$F$47,3,FALSE)</f>
        <v>1</v>
      </c>
      <c r="M67" s="19" t="str">
        <f>VLOOKUP(Zuweisungen!D67,'DIN V 18599-10'!$B$2:$F$47,4,FALSE)</f>
        <v>2</v>
      </c>
      <c r="N67" s="19" t="str">
        <f>VLOOKUP(Zuweisungen!D67,'DIN V 18599-10'!$B$2:$F$47,5,FALSE)</f>
        <v>3</v>
      </c>
      <c r="O67" s="10">
        <f>VLOOKUP(Zuweisungen!F67,'SIA 2024'!$C$2:$G$46,4,FALSE)</f>
        <v>1</v>
      </c>
      <c r="P67" s="11">
        <f>VLOOKUP(Zuweisungen!F67,'SIA 2024'!$C$2:$G$46,3,FALSE)</f>
        <v>2</v>
      </c>
      <c r="Q67" s="12">
        <f>VLOOKUP(Zuweisungen!F67,'SIA 2024'!$C$2:$G$46,5,FALSE)</f>
        <v>3</v>
      </c>
      <c r="R67" s="24" t="str">
        <f>VLOOKUP($H67,MZA!$E$2:$BJ$112,58,FALSE)</f>
        <v>30.52703816</v>
      </c>
      <c r="S67" s="24" t="str">
        <f>VLOOKUP($H67,MZA!$E$2:$BJ$112,58,FALSE)</f>
        <v>30.52703816</v>
      </c>
      <c r="T67" s="24" t="str">
        <f>VLOOKUP($H67,MZA!$E$2:$BJ$112,58,FALSE)</f>
        <v>30.52703816</v>
      </c>
      <c r="U67">
        <f>VLOOKUP(Zuweisungen!D67,'DIN V 18599-10'!$B$2:$H$47,6,FALSE)</f>
        <v>10</v>
      </c>
      <c r="V67">
        <f>VLOOKUP(Zuweisungen!D67,'DIN V 18599-10'!$B$2:$H$47,7,FALSE)</f>
        <v>24</v>
      </c>
      <c r="W67">
        <f>VLOOKUP(Zuweisungen!F67,'SIA 2024'!$C$2:$I$46,6,FALSE)</f>
        <v>8</v>
      </c>
      <c r="X67">
        <f>VLOOKUP(Zuweisungen!F67,'SIA 2024'!$C$2:$I$46,7,FALSE)</f>
        <v>24</v>
      </c>
      <c r="Y67" s="3" t="str">
        <f>VLOOKUP($H67,MZA!$E$2:$BJ$112,31,FALSE)</f>
        <v>8.848274092</v>
      </c>
      <c r="Z67" s="3" t="str">
        <f>VLOOKUP($H67,MZA!$E$2:$BJ$112,32,FALSE)</f>
        <v>21.57507083</v>
      </c>
    </row>
    <row r="68" spans="1:26" x14ac:dyDescent="0.25">
      <c r="A68" t="s">
        <v>247</v>
      </c>
      <c r="B68" t="s">
        <v>308</v>
      </c>
      <c r="C68" t="s">
        <v>112</v>
      </c>
      <c r="D68" s="1" t="str">
        <f>VLOOKUP(Zuweisungen!C68,'DIN V 18599-10'!$A$2:$B$47,2,FALSE)</f>
        <v>13</v>
      </c>
      <c r="E68" t="s">
        <v>45</v>
      </c>
      <c r="F68" t="str">
        <f>VLOOKUP(Zuweisungen!E68,'SIA 2024'!$A$2:$C$46,3,FALSE)</f>
        <v>6.1</v>
      </c>
      <c r="G68" t="str">
        <f>VLOOKUP($B68,MZA!$D$2:$D$112,1,FALSE)</f>
        <v>Restaurant (gehoben)</v>
      </c>
      <c r="H68">
        <f>VLOOKUP($B68,MZA!$D$2:$E$112,2,FALSE)</f>
        <v>74</v>
      </c>
      <c r="I68" s="9" t="str">
        <f>VLOOKUP(Zuweisungen!D68,'DIN V 18599-10'!$B$2:$F$47,2,FALSE)</f>
        <v>70</v>
      </c>
      <c r="J68" s="9">
        <f>VLOOKUP(Zuweisungen!F68,'SIA 2024'!$C$2:$G$46,2,FALSE)</f>
        <v>70</v>
      </c>
      <c r="K68" s="23" t="str">
        <f>VLOOKUP($H68,MZA!$E$2:$BJ$112,57,FALSE)</f>
        <v>72.32018026</v>
      </c>
      <c r="L68" s="19" t="str">
        <f>VLOOKUP(Zuweisungen!D68,'DIN V 18599-10'!$B$2:$F$47,3,FALSE)</f>
        <v>1</v>
      </c>
      <c r="M68" s="19" t="str">
        <f>VLOOKUP(Zuweisungen!D68,'DIN V 18599-10'!$B$2:$F$47,4,FALSE)</f>
        <v>2</v>
      </c>
      <c r="N68" s="19" t="str">
        <f>VLOOKUP(Zuweisungen!D68,'DIN V 18599-10'!$B$2:$F$47,5,FALSE)</f>
        <v>3</v>
      </c>
      <c r="O68" s="10">
        <f>VLOOKUP(Zuweisungen!F68,'SIA 2024'!$C$2:$G$46,4,FALSE)</f>
        <v>1</v>
      </c>
      <c r="P68" s="11">
        <f>VLOOKUP(Zuweisungen!F68,'SIA 2024'!$C$2:$G$46,3,FALSE)</f>
        <v>2</v>
      </c>
      <c r="Q68" s="12">
        <f>VLOOKUP(Zuweisungen!F68,'SIA 2024'!$C$2:$G$46,5,FALSE)</f>
        <v>3</v>
      </c>
      <c r="R68" s="24" t="str">
        <f>VLOOKUP($H68,MZA!$E$2:$BJ$112,58,FALSE)</f>
        <v>30.52703816</v>
      </c>
      <c r="S68" s="24" t="str">
        <f>VLOOKUP($H68,MZA!$E$2:$BJ$112,58,FALSE)</f>
        <v>30.52703816</v>
      </c>
      <c r="T68" s="24" t="str">
        <f>VLOOKUP($H68,MZA!$E$2:$BJ$112,58,FALSE)</f>
        <v>30.52703816</v>
      </c>
      <c r="U68">
        <f>VLOOKUP(Zuweisungen!D68,'DIN V 18599-10'!$B$2:$H$47,6,FALSE)</f>
        <v>10</v>
      </c>
      <c r="V68">
        <f>VLOOKUP(Zuweisungen!D68,'DIN V 18599-10'!$B$2:$H$47,7,FALSE)</f>
        <v>24</v>
      </c>
      <c r="W68">
        <f>VLOOKUP(Zuweisungen!F68,'SIA 2024'!$C$2:$I$46,6,FALSE)</f>
        <v>8</v>
      </c>
      <c r="X68">
        <f>VLOOKUP(Zuweisungen!F68,'SIA 2024'!$C$2:$I$46,7,FALSE)</f>
        <v>24</v>
      </c>
      <c r="Y68" s="3" t="str">
        <f>VLOOKUP($H68,MZA!$E$2:$BJ$112,31,FALSE)</f>
        <v>8.848274092</v>
      </c>
      <c r="Z68" s="3" t="str">
        <f>VLOOKUP($H68,MZA!$E$2:$BJ$112,32,FALSE)</f>
        <v>21.57507083</v>
      </c>
    </row>
    <row r="69" spans="1:26" x14ac:dyDescent="0.25">
      <c r="A69" t="s">
        <v>247</v>
      </c>
      <c r="B69" t="s">
        <v>4</v>
      </c>
      <c r="C69" t="s">
        <v>111</v>
      </c>
      <c r="D69" s="1" t="str">
        <f>VLOOKUP(Zuweisungen!C69,'DIN V 18599-10'!$A$2:$B$47,2,FALSE)</f>
        <v>12</v>
      </c>
      <c r="E69" t="s">
        <v>47</v>
      </c>
      <c r="F69" t="str">
        <f>VLOOKUP(Zuweisungen!E69,'SIA 2024'!$A$2:$C$46,3,FALSE)</f>
        <v>6.2</v>
      </c>
      <c r="G69" t="str">
        <f>VLOOKUP($B69,MZA!$D$2:$D$112,1,FALSE)</f>
        <v>Mensa/Kantine</v>
      </c>
      <c r="H69">
        <f>VLOOKUP($B69,MZA!$D$2:$E$112,2,FALSE)</f>
        <v>75</v>
      </c>
      <c r="I69" s="9" t="str">
        <f>VLOOKUP(Zuweisungen!D69,'DIN V 18599-10'!$B$2:$F$47,2,FALSE)</f>
        <v>70</v>
      </c>
      <c r="J69" s="9">
        <f>VLOOKUP(Zuweisungen!F69,'SIA 2024'!$C$2:$G$46,2,FALSE)</f>
        <v>70</v>
      </c>
      <c r="K69" s="23" t="str">
        <f>VLOOKUP($H69,MZA!$E$2:$BJ$112,57,FALSE)</f>
        <v>71.45015106</v>
      </c>
      <c r="L69" s="19" t="str">
        <f>VLOOKUP(Zuweisungen!D69,'DIN V 18599-10'!$B$2:$F$47,3,FALSE)</f>
        <v>1</v>
      </c>
      <c r="M69" s="19" t="str">
        <f>VLOOKUP(Zuweisungen!D69,'DIN V 18599-10'!$B$2:$F$47,4,FALSE)</f>
        <v>2</v>
      </c>
      <c r="N69" s="19" t="str">
        <f>VLOOKUP(Zuweisungen!D69,'DIN V 18599-10'!$B$2:$F$47,5,FALSE)</f>
        <v>3</v>
      </c>
      <c r="O69" s="10">
        <f>VLOOKUP(Zuweisungen!F69,'SIA 2024'!$C$2:$G$46,4,FALSE)</f>
        <v>1</v>
      </c>
      <c r="P69" s="11">
        <f>VLOOKUP(Zuweisungen!F69,'SIA 2024'!$C$2:$G$46,3,FALSE)</f>
        <v>2</v>
      </c>
      <c r="Q69" s="12">
        <f>VLOOKUP(Zuweisungen!F69,'SIA 2024'!$C$2:$G$46,5,FALSE)</f>
        <v>3</v>
      </c>
      <c r="R69" s="24" t="str">
        <f>VLOOKUP($H69,MZA!$E$2:$BJ$112,58,FALSE)</f>
        <v>30.54068804</v>
      </c>
      <c r="S69" s="24" t="str">
        <f>VLOOKUP($H69,MZA!$E$2:$BJ$112,58,FALSE)</f>
        <v>30.54068804</v>
      </c>
      <c r="T69" s="24" t="str">
        <f>VLOOKUP($H69,MZA!$E$2:$BJ$112,58,FALSE)</f>
        <v>30.54068804</v>
      </c>
      <c r="U69">
        <f>VLOOKUP(Zuweisungen!D69,'DIN V 18599-10'!$B$2:$H$47,6,FALSE)</f>
        <v>8</v>
      </c>
      <c r="V69">
        <f>VLOOKUP(Zuweisungen!D69,'DIN V 18599-10'!$B$2:$H$47,7,FALSE)</f>
        <v>15</v>
      </c>
      <c r="W69">
        <f>VLOOKUP(Zuweisungen!F69,'SIA 2024'!$C$2:$I$46,6,FALSE)</f>
        <v>8</v>
      </c>
      <c r="X69">
        <f>VLOOKUP(Zuweisungen!F69,'SIA 2024'!$C$2:$I$46,7,FALSE)</f>
        <v>15</v>
      </c>
      <c r="Y69" s="3" t="str">
        <f>VLOOKUP($H69,MZA!$E$2:$BJ$112,31,FALSE)</f>
        <v>7.85701264</v>
      </c>
      <c r="Z69" s="3" t="str">
        <f>VLOOKUP($H69,MZA!$E$2:$BJ$112,32,FALSE)</f>
        <v>18.22648274</v>
      </c>
    </row>
    <row r="70" spans="1:26" x14ac:dyDescent="0.25">
      <c r="A70" t="s">
        <v>247</v>
      </c>
      <c r="B70" t="s">
        <v>309</v>
      </c>
      <c r="C70" t="s">
        <v>349</v>
      </c>
      <c r="D70" s="1">
        <f>VLOOKUP(Zuweisungen!C70,'DIN V 18599-10'!$A$2:$B$47,2,FALSE)</f>
        <v>43</v>
      </c>
      <c r="E70" t="s">
        <v>344</v>
      </c>
      <c r="F70" t="str">
        <f>VLOOKUP(Zuweisungen!E70,'SIA 2024'!$A$2:$C$46,3,FALSE)</f>
        <v>1.1</v>
      </c>
      <c r="G70" t="str">
        <f>VLOOKUP($B70,MZA!$D$2:$D$112,1,FALSE)</f>
        <v>Gemeinschaftsunterkunft (z.B. Flüchtlingsheim, Kaserne, Kloster)</v>
      </c>
      <c r="H70">
        <f>VLOOKUP($B70,MZA!$D$2:$E$112,2,FALSE)</f>
        <v>76</v>
      </c>
      <c r="I70" s="9">
        <f>VLOOKUP(Zuweisungen!D70,'DIN V 18599-10'!$B$2:$F$47,2,FALSE)</f>
        <v>80</v>
      </c>
      <c r="J70" s="9">
        <f>VLOOKUP(Zuweisungen!F70,'SIA 2024'!$C$2:$G$46,2,FALSE)</f>
        <v>70</v>
      </c>
      <c r="K70" s="23" t="str">
        <f>VLOOKUP($H70,MZA!$E$2:$BJ$112,57,FALSE)</f>
        <v>70.53952491</v>
      </c>
      <c r="L70" s="19" t="str">
        <f>VLOOKUP(Zuweisungen!D70,'DIN V 18599-10'!$B$2:$F$47,3,FALSE)</f>
        <v>4.8</v>
      </c>
      <c r="M70" s="19" t="str">
        <f>VLOOKUP(Zuweisungen!D70,'DIN V 18599-10'!$B$2:$F$47,4,FALSE)</f>
        <v>7.2</v>
      </c>
      <c r="N70" s="19" t="str">
        <f>VLOOKUP(Zuweisungen!D70,'DIN V 18599-10'!$B$2:$F$47,5,FALSE)</f>
        <v>10.8</v>
      </c>
      <c r="O70" s="10">
        <f>VLOOKUP(Zuweisungen!F70,'SIA 2024'!$C$2:$G$46,4,FALSE)</f>
        <v>4</v>
      </c>
      <c r="P70" s="11">
        <f>VLOOKUP(Zuweisungen!F70,'SIA 2024'!$C$2:$G$46,3,FALSE)</f>
        <v>8</v>
      </c>
      <c r="Q70" s="12">
        <f>VLOOKUP(Zuweisungen!F70,'SIA 2024'!$C$2:$G$46,5,FALSE)</f>
        <v>10</v>
      </c>
      <c r="R70" s="24" t="str">
        <f>VLOOKUP($H70,MZA!$E$2:$BJ$112,58,FALSE)</f>
        <v>8.297548182</v>
      </c>
      <c r="S70" s="24" t="str">
        <f>VLOOKUP($H70,MZA!$E$2:$BJ$112,58,FALSE)</f>
        <v>8.297548182</v>
      </c>
      <c r="T70" s="24" t="str">
        <f>VLOOKUP($H70,MZA!$E$2:$BJ$112,58,FALSE)</f>
        <v>8.297548182</v>
      </c>
      <c r="U70">
        <f>VLOOKUP(Zuweisungen!D70,'DIN V 18599-10'!$B$2:$H$47,6,FALSE)</f>
        <v>0</v>
      </c>
      <c r="V70">
        <f>VLOOKUP(Zuweisungen!D70,'DIN V 18599-10'!$B$2:$H$47,7,FALSE)</f>
        <v>24</v>
      </c>
      <c r="W70">
        <f>VLOOKUP(Zuweisungen!F70,'SIA 2024'!$C$2:$I$46,6,FALSE)</f>
        <v>0</v>
      </c>
      <c r="X70">
        <f>VLOOKUP(Zuweisungen!F70,'SIA 2024'!$C$2:$I$46,7,FALSE)</f>
        <v>24</v>
      </c>
      <c r="Y70" s="3" t="str">
        <f>VLOOKUP($H70,MZA!$E$2:$BJ$112,31,FALSE)</f>
        <v>2.13968697</v>
      </c>
      <c r="Z70" s="3" t="str">
        <f>VLOOKUP($H70,MZA!$E$2:$BJ$112,32,FALSE)</f>
        <v>14.1161548</v>
      </c>
    </row>
    <row r="71" spans="1:26" x14ac:dyDescent="0.25">
      <c r="A71" t="s">
        <v>247</v>
      </c>
      <c r="B71" t="s">
        <v>336</v>
      </c>
      <c r="C71" t="s">
        <v>121</v>
      </c>
      <c r="D71" s="1" t="str">
        <f>VLOOKUP(Zuweisungen!C71,'DIN V 18599-10'!$A$2:$B$47,2,FALSE)</f>
        <v>17</v>
      </c>
      <c r="E71" t="s">
        <v>61</v>
      </c>
      <c r="F71" t="str">
        <f>VLOOKUP(Zuweisungen!E71,'SIA 2024'!$A$2:$C$46,3,FALSE)</f>
        <v>12.4</v>
      </c>
      <c r="G71" s="21" t="str">
        <f>A71</f>
        <v>Beherbergungs- oder Unterbringungsgebäude, Gastronomie- oder Verpflegungsgebäude</v>
      </c>
      <c r="H71" s="21">
        <v>69</v>
      </c>
      <c r="I71" s="9" t="str">
        <f>VLOOKUP(Zuweisungen!D71,'DIN V 18599-10'!$B$2:$F$47,2,FALSE)</f>
        <v>70</v>
      </c>
      <c r="J71" s="9">
        <f>VLOOKUP(Zuweisungen!F71,'SIA 2024'!$C$2:$G$46,2,FALSE)</f>
        <v>70</v>
      </c>
      <c r="K71" s="23" t="str">
        <f>VLOOKUP($H71,MZA!$E$2:$BJ$112,57,FALSE)</f>
        <v>71.20821264</v>
      </c>
      <c r="L71" s="19" t="str">
        <f>VLOOKUP(Zuweisungen!D71,'DIN V 18599-10'!$B$2:$F$47,3,FALSE)</f>
        <v>1</v>
      </c>
      <c r="M71" s="19" t="str">
        <f>VLOOKUP(Zuweisungen!D71,'DIN V 18599-10'!$B$2:$F$47,4,FALSE)</f>
        <v>2</v>
      </c>
      <c r="N71" s="19" t="str">
        <f>VLOOKUP(Zuweisungen!D71,'DIN V 18599-10'!$B$2:$F$47,5,FALSE)</f>
        <v>3</v>
      </c>
      <c r="O71" s="10">
        <f>VLOOKUP(Zuweisungen!F71,'SIA 2024'!$C$2:$G$46,4,FALSE)</f>
        <v>0</v>
      </c>
      <c r="P71" s="11">
        <f>VLOOKUP(Zuweisungen!F71,'SIA 2024'!$C$2:$G$46,3,FALSE)</f>
        <v>0</v>
      </c>
      <c r="Q71" s="12">
        <f>VLOOKUP(Zuweisungen!F71,'SIA 2024'!$C$2:$G$46,5,FALSE)</f>
        <v>0</v>
      </c>
      <c r="R71" s="24" t="str">
        <f>VLOOKUP($H71,MZA!$E$2:$BJ$112,58,FALSE)</f>
        <v>18.02685296</v>
      </c>
      <c r="S71" s="24" t="str">
        <f>VLOOKUP($H71,MZA!$E$2:$BJ$112,58,FALSE)</f>
        <v>18.02685296</v>
      </c>
      <c r="T71" s="24" t="str">
        <f>VLOOKUP($H71,MZA!$E$2:$BJ$112,58,FALSE)</f>
        <v>18.02685296</v>
      </c>
      <c r="U71">
        <f>VLOOKUP(Zuweisungen!D71,'DIN V 18599-10'!$B$2:$H$47,6,FALSE)</f>
        <v>7</v>
      </c>
      <c r="V71">
        <f>VLOOKUP(Zuweisungen!D71,'DIN V 18599-10'!$B$2:$H$47,7,FALSE)</f>
        <v>18</v>
      </c>
      <c r="W71">
        <f>VLOOKUP(Zuweisungen!F71,'SIA 2024'!$C$2:$I$46,6,FALSE)</f>
        <v>6</v>
      </c>
      <c r="X71">
        <f>VLOOKUP(Zuweisungen!F71,'SIA 2024'!$C$2:$I$46,7,FALSE)</f>
        <v>19</v>
      </c>
      <c r="Y71" s="3" t="str">
        <f>VLOOKUP($H71,MZA!$E$2:$BJ$112,31,FALSE)</f>
        <v>4.877438604</v>
      </c>
      <c r="Z71" s="3" t="str">
        <f>VLOOKUP($H71,MZA!$E$2:$BJ$112,32,FALSE)</f>
        <v>17.15196779</v>
      </c>
    </row>
    <row r="72" spans="1:26" x14ac:dyDescent="0.25">
      <c r="A72" t="s">
        <v>246</v>
      </c>
      <c r="B72" t="s">
        <v>335</v>
      </c>
      <c r="C72" t="s">
        <v>131</v>
      </c>
      <c r="D72" s="1" t="str">
        <f>VLOOKUP(Zuweisungen!C72,'DIN V 18599-10'!$A$2:$B$47,2,FALSE)</f>
        <v>22.2</v>
      </c>
      <c r="E72" t="s">
        <v>71</v>
      </c>
      <c r="F72" t="str">
        <f>VLOOKUP(Zuweisungen!E72,'SIA 2024'!$A$2:$C$46,3,FALSE)</f>
        <v>9.1</v>
      </c>
      <c r="G72" t="str">
        <f>VLOOKUP($B72,MZA!$D$2:$D$112,1,FALSE)</f>
        <v>Gebäude für gewerbliche Produktion und Verarbeitung (z.B. Brauerei, Molkerei, Schlachthof)</v>
      </c>
      <c r="H72">
        <f>VLOOKUP($B72,MZA!$D$2:$E$112,2,FALSE)</f>
        <v>78</v>
      </c>
      <c r="I72" s="9" t="str">
        <f>VLOOKUP(Zuweisungen!D72,'DIN V 18599-10'!$B$2:$F$47,2,FALSE)</f>
        <v>100</v>
      </c>
      <c r="J72" s="9">
        <f>VLOOKUP(Zuweisungen!F72,'SIA 2024'!$C$2:$G$46,2,FALSE)</f>
        <v>90</v>
      </c>
      <c r="K72" s="23" t="str">
        <f>VLOOKUP($H72,MZA!$E$2:$BJ$112,57,FALSE)</f>
        <v>88.9612261</v>
      </c>
      <c r="L72" s="19" t="str">
        <f>VLOOKUP(Zuweisungen!D72,'DIN V 18599-10'!$B$2:$F$47,3,FALSE)</f>
        <v>25</v>
      </c>
      <c r="M72" s="19" t="str">
        <f>VLOOKUP(Zuweisungen!D72,'DIN V 18599-10'!$B$2:$F$47,4,FALSE)</f>
        <v>35</v>
      </c>
      <c r="N72" s="19" t="str">
        <f>VLOOKUP(Zuweisungen!D72,'DIN V 18599-10'!$B$2:$F$47,5,FALSE)</f>
        <v>45</v>
      </c>
      <c r="O72" s="10">
        <f>VLOOKUP(Zuweisungen!F72,'SIA 2024'!$C$2:$G$46,4,FALSE)</f>
        <v>5</v>
      </c>
      <c r="P72" s="11">
        <f>VLOOKUP(Zuweisungen!F72,'SIA 2024'!$C$2:$G$46,3,FALSE)</f>
        <v>10</v>
      </c>
      <c r="Q72" s="12">
        <f>VLOOKUP(Zuweisungen!F72,'SIA 2024'!$C$2:$G$46,5,FALSE)</f>
        <v>15</v>
      </c>
      <c r="R72" s="24" t="str">
        <f>VLOOKUP($H72,MZA!$E$2:$BJ$112,58,FALSE)</f>
        <v>20.24767194</v>
      </c>
      <c r="S72" s="24" t="str">
        <f>VLOOKUP($H72,MZA!$E$2:$BJ$112,58,FALSE)</f>
        <v>20.24767194</v>
      </c>
      <c r="T72" s="24" t="str">
        <f>VLOOKUP($H72,MZA!$E$2:$BJ$112,58,FALSE)</f>
        <v>20.24767194</v>
      </c>
      <c r="U72">
        <f>VLOOKUP(Zuweisungen!D72,'DIN V 18599-10'!$B$2:$H$47,6,FALSE)</f>
        <v>7</v>
      </c>
      <c r="V72">
        <f>VLOOKUP(Zuweisungen!D72,'DIN V 18599-10'!$B$2:$H$47,7,FALSE)</f>
        <v>16</v>
      </c>
      <c r="W72">
        <f>VLOOKUP(Zuweisungen!F72,'SIA 2024'!$C$2:$I$46,6,FALSE)</f>
        <v>0</v>
      </c>
      <c r="X72">
        <f>VLOOKUP(Zuweisungen!F72,'SIA 2024'!$C$2:$I$46,7,FALSE)</f>
        <v>24</v>
      </c>
      <c r="Y72" s="3" t="str">
        <f>VLOOKUP($H72,MZA!$E$2:$BJ$112,31,FALSE)</f>
        <v>6.325124122</v>
      </c>
      <c r="Z72" s="3" t="str">
        <f>VLOOKUP($H72,MZA!$E$2:$BJ$112,32,FALSE)</f>
        <v>17.73869555</v>
      </c>
    </row>
    <row r="73" spans="1:26" x14ac:dyDescent="0.25">
      <c r="A73" t="s">
        <v>246</v>
      </c>
      <c r="B73" t="s">
        <v>310</v>
      </c>
      <c r="C73" t="s">
        <v>131</v>
      </c>
      <c r="D73" s="1" t="str">
        <f>VLOOKUP(Zuweisungen!C73,'DIN V 18599-10'!$A$2:$B$47,2,FALSE)</f>
        <v>22.2</v>
      </c>
      <c r="E73" t="s">
        <v>71</v>
      </c>
      <c r="F73" t="str">
        <f>VLOOKUP(Zuweisungen!E73,'SIA 2024'!$A$2:$C$46,3,FALSE)</f>
        <v>9.1</v>
      </c>
      <c r="G73" t="str">
        <f>VLOOKUP($B73,MZA!$D$2:$D$112,1,FALSE)</f>
        <v>Gebäude für industrielle Produktion und Verarbeitung (z.B. Chemie, Metall, Textilien, Lebensmittel, Holz)</v>
      </c>
      <c r="H73">
        <f>VLOOKUP($B73,MZA!$D$2:$E$112,2,FALSE)</f>
        <v>79</v>
      </c>
      <c r="I73" s="9" t="str">
        <f>VLOOKUP(Zuweisungen!D73,'DIN V 18599-10'!$B$2:$F$47,2,FALSE)</f>
        <v>100</v>
      </c>
      <c r="J73" s="9">
        <f>VLOOKUP(Zuweisungen!F73,'SIA 2024'!$C$2:$G$46,2,FALSE)</f>
        <v>90</v>
      </c>
      <c r="K73" s="23" t="str">
        <f>VLOOKUP($H73,MZA!$E$2:$BJ$112,57,FALSE)</f>
        <v>88.9612261</v>
      </c>
      <c r="L73" s="19" t="str">
        <f>VLOOKUP(Zuweisungen!D73,'DIN V 18599-10'!$B$2:$F$47,3,FALSE)</f>
        <v>25</v>
      </c>
      <c r="M73" s="19" t="str">
        <f>VLOOKUP(Zuweisungen!D73,'DIN V 18599-10'!$B$2:$F$47,4,FALSE)</f>
        <v>35</v>
      </c>
      <c r="N73" s="19" t="str">
        <f>VLOOKUP(Zuweisungen!D73,'DIN V 18599-10'!$B$2:$F$47,5,FALSE)</f>
        <v>45</v>
      </c>
      <c r="O73" s="10">
        <f>VLOOKUP(Zuweisungen!F73,'SIA 2024'!$C$2:$G$46,4,FALSE)</f>
        <v>5</v>
      </c>
      <c r="P73" s="11">
        <f>VLOOKUP(Zuweisungen!F73,'SIA 2024'!$C$2:$G$46,3,FALSE)</f>
        <v>10</v>
      </c>
      <c r="Q73" s="12">
        <f>VLOOKUP(Zuweisungen!F73,'SIA 2024'!$C$2:$G$46,5,FALSE)</f>
        <v>15</v>
      </c>
      <c r="R73" s="24" t="str">
        <f>VLOOKUP($H73,MZA!$E$2:$BJ$112,58,FALSE)</f>
        <v>20.24767194</v>
      </c>
      <c r="S73" s="24" t="str">
        <f>VLOOKUP($H73,MZA!$E$2:$BJ$112,58,FALSE)</f>
        <v>20.24767194</v>
      </c>
      <c r="T73" s="24" t="str">
        <f>VLOOKUP($H73,MZA!$E$2:$BJ$112,58,FALSE)</f>
        <v>20.24767194</v>
      </c>
      <c r="U73">
        <f>VLOOKUP(Zuweisungen!D73,'DIN V 18599-10'!$B$2:$H$47,6,FALSE)</f>
        <v>7</v>
      </c>
      <c r="V73">
        <f>VLOOKUP(Zuweisungen!D73,'DIN V 18599-10'!$B$2:$H$47,7,FALSE)</f>
        <v>16</v>
      </c>
      <c r="W73">
        <f>VLOOKUP(Zuweisungen!F73,'SIA 2024'!$C$2:$I$46,6,FALSE)</f>
        <v>0</v>
      </c>
      <c r="X73">
        <f>VLOOKUP(Zuweisungen!F73,'SIA 2024'!$C$2:$I$46,7,FALSE)</f>
        <v>24</v>
      </c>
      <c r="Y73" s="3" t="str">
        <f>VLOOKUP($H73,MZA!$E$2:$BJ$112,31,FALSE)</f>
        <v>6.325124122</v>
      </c>
      <c r="Z73" s="3" t="str">
        <f>VLOOKUP($H73,MZA!$E$2:$BJ$112,32,FALSE)</f>
        <v>17.73869555</v>
      </c>
    </row>
    <row r="74" spans="1:26" x14ac:dyDescent="0.25">
      <c r="A74" t="s">
        <v>246</v>
      </c>
      <c r="B74" t="s">
        <v>311</v>
      </c>
      <c r="C74" t="s">
        <v>131</v>
      </c>
      <c r="D74" s="1" t="str">
        <f>VLOOKUP(Zuweisungen!C74,'DIN V 18599-10'!$A$2:$B$47,2,FALSE)</f>
        <v>22.2</v>
      </c>
      <c r="E74" t="s">
        <v>71</v>
      </c>
      <c r="F74" t="str">
        <f>VLOOKUP(Zuweisungen!E74,'SIA 2024'!$A$2:$C$46,3,FALSE)</f>
        <v>9.1</v>
      </c>
      <c r="G74" t="str">
        <f>VLOOKUP($B74,MZA!$D$2:$D$112,1,FALSE)</f>
        <v>Werkstattgebäude allgemein (z.B. von Handwerksbetrieben wie Klempner, Schlosser, Schreiner)</v>
      </c>
      <c r="H74">
        <f>VLOOKUP($B74,MZA!$D$2:$E$112,2,FALSE)</f>
        <v>80</v>
      </c>
      <c r="I74" s="9" t="str">
        <f>VLOOKUP(Zuweisungen!D74,'DIN V 18599-10'!$B$2:$F$47,2,FALSE)</f>
        <v>100</v>
      </c>
      <c r="J74" s="9">
        <f>VLOOKUP(Zuweisungen!F74,'SIA 2024'!$C$2:$G$46,2,FALSE)</f>
        <v>90</v>
      </c>
      <c r="K74" s="23" t="str">
        <f>VLOOKUP($H74,MZA!$E$2:$BJ$112,57,FALSE)</f>
        <v>85.61917852</v>
      </c>
      <c r="L74" s="19" t="str">
        <f>VLOOKUP(Zuweisungen!D74,'DIN V 18599-10'!$B$2:$F$47,3,FALSE)</f>
        <v>25</v>
      </c>
      <c r="M74" s="19" t="str">
        <f>VLOOKUP(Zuweisungen!D74,'DIN V 18599-10'!$B$2:$F$47,4,FALSE)</f>
        <v>35</v>
      </c>
      <c r="N74" s="19" t="str">
        <f>VLOOKUP(Zuweisungen!D74,'DIN V 18599-10'!$B$2:$F$47,5,FALSE)</f>
        <v>45</v>
      </c>
      <c r="O74" s="10">
        <f>VLOOKUP(Zuweisungen!F74,'SIA 2024'!$C$2:$G$46,4,FALSE)</f>
        <v>5</v>
      </c>
      <c r="P74" s="11">
        <f>VLOOKUP(Zuweisungen!F74,'SIA 2024'!$C$2:$G$46,3,FALSE)</f>
        <v>10</v>
      </c>
      <c r="Q74" s="12">
        <f>VLOOKUP(Zuweisungen!F74,'SIA 2024'!$C$2:$G$46,5,FALSE)</f>
        <v>15</v>
      </c>
      <c r="R74" s="24" t="str">
        <f>VLOOKUP($H74,MZA!$E$2:$BJ$112,58,FALSE)</f>
        <v>17.52835613</v>
      </c>
      <c r="S74" s="24" t="str">
        <f>VLOOKUP($H74,MZA!$E$2:$BJ$112,58,FALSE)</f>
        <v>17.52835613</v>
      </c>
      <c r="T74" s="24" t="str">
        <f>VLOOKUP($H74,MZA!$E$2:$BJ$112,58,FALSE)</f>
        <v>17.52835613</v>
      </c>
      <c r="U74">
        <f>VLOOKUP(Zuweisungen!D74,'DIN V 18599-10'!$B$2:$H$47,6,FALSE)</f>
        <v>7</v>
      </c>
      <c r="V74">
        <f>VLOOKUP(Zuweisungen!D74,'DIN V 18599-10'!$B$2:$H$47,7,FALSE)</f>
        <v>16</v>
      </c>
      <c r="W74">
        <f>VLOOKUP(Zuweisungen!F74,'SIA 2024'!$C$2:$I$46,6,FALSE)</f>
        <v>0</v>
      </c>
      <c r="X74">
        <f>VLOOKUP(Zuweisungen!F74,'SIA 2024'!$C$2:$I$46,7,FALSE)</f>
        <v>24</v>
      </c>
      <c r="Y74" s="3" t="str">
        <f>VLOOKUP($H74,MZA!$E$2:$BJ$112,31,FALSE)</f>
        <v>6.181803308</v>
      </c>
      <c r="Z74" s="3" t="str">
        <f>VLOOKUP($H74,MZA!$E$2:$BJ$112,32,FALSE)</f>
        <v>18.09329665</v>
      </c>
    </row>
    <row r="75" spans="1:26" x14ac:dyDescent="0.25">
      <c r="A75" t="s">
        <v>246</v>
      </c>
      <c r="B75" t="s">
        <v>312</v>
      </c>
      <c r="C75" t="s">
        <v>131</v>
      </c>
      <c r="D75" s="1" t="str">
        <f>VLOOKUP(Zuweisungen!C75,'DIN V 18599-10'!$A$2:$B$47,2,FALSE)</f>
        <v>22.2</v>
      </c>
      <c r="E75" t="s">
        <v>71</v>
      </c>
      <c r="F75" t="str">
        <f>VLOOKUP(Zuweisungen!E75,'SIA 2024'!$A$2:$C$46,3,FALSE)</f>
        <v>9.1</v>
      </c>
      <c r="G75" t="str">
        <f>VLOOKUP($B75,MZA!$D$2:$D$112,1,FALSE)</f>
        <v>Werkstattgebäude zur Wartung, Instandsetzung, Reparatur (von z.B. Kfz)</v>
      </c>
      <c r="H75">
        <f>VLOOKUP($B75,MZA!$D$2:$E$112,2,FALSE)</f>
        <v>81</v>
      </c>
      <c r="I75" s="9" t="str">
        <f>VLOOKUP(Zuweisungen!D75,'DIN V 18599-10'!$B$2:$F$47,2,FALSE)</f>
        <v>100</v>
      </c>
      <c r="J75" s="9">
        <f>VLOOKUP(Zuweisungen!F75,'SIA 2024'!$C$2:$G$46,2,FALSE)</f>
        <v>90</v>
      </c>
      <c r="K75" s="23" t="str">
        <f>VLOOKUP($H75,MZA!$E$2:$BJ$112,57,FALSE)</f>
        <v>85.61917852</v>
      </c>
      <c r="L75" s="19" t="str">
        <f>VLOOKUP(Zuweisungen!D75,'DIN V 18599-10'!$B$2:$F$47,3,FALSE)</f>
        <v>25</v>
      </c>
      <c r="M75" s="19" t="str">
        <f>VLOOKUP(Zuweisungen!D75,'DIN V 18599-10'!$B$2:$F$47,4,FALSE)</f>
        <v>35</v>
      </c>
      <c r="N75" s="19" t="str">
        <f>VLOOKUP(Zuweisungen!D75,'DIN V 18599-10'!$B$2:$F$47,5,FALSE)</f>
        <v>45</v>
      </c>
      <c r="O75" s="10">
        <f>VLOOKUP(Zuweisungen!F75,'SIA 2024'!$C$2:$G$46,4,FALSE)</f>
        <v>5</v>
      </c>
      <c r="P75" s="11">
        <f>VLOOKUP(Zuweisungen!F75,'SIA 2024'!$C$2:$G$46,3,FALSE)</f>
        <v>10</v>
      </c>
      <c r="Q75" s="12">
        <f>VLOOKUP(Zuweisungen!F75,'SIA 2024'!$C$2:$G$46,5,FALSE)</f>
        <v>15</v>
      </c>
      <c r="R75" s="24" t="str">
        <f>VLOOKUP($H75,MZA!$E$2:$BJ$112,58,FALSE)</f>
        <v>17.52835613</v>
      </c>
      <c r="S75" s="24" t="str">
        <f>VLOOKUP($H75,MZA!$E$2:$BJ$112,58,FALSE)</f>
        <v>17.52835613</v>
      </c>
      <c r="T75" s="24" t="str">
        <f>VLOOKUP($H75,MZA!$E$2:$BJ$112,58,FALSE)</f>
        <v>17.52835613</v>
      </c>
      <c r="U75">
        <f>VLOOKUP(Zuweisungen!D75,'DIN V 18599-10'!$B$2:$H$47,6,FALSE)</f>
        <v>7</v>
      </c>
      <c r="V75">
        <f>VLOOKUP(Zuweisungen!D75,'DIN V 18599-10'!$B$2:$H$47,7,FALSE)</f>
        <v>16</v>
      </c>
      <c r="W75">
        <f>VLOOKUP(Zuweisungen!F75,'SIA 2024'!$C$2:$I$46,6,FALSE)</f>
        <v>0</v>
      </c>
      <c r="X75">
        <f>VLOOKUP(Zuweisungen!F75,'SIA 2024'!$C$2:$I$46,7,FALSE)</f>
        <v>24</v>
      </c>
      <c r="Y75" s="3" t="str">
        <f>VLOOKUP($H75,MZA!$E$2:$BJ$112,31,FALSE)</f>
        <v>6.181803308</v>
      </c>
      <c r="Z75" s="3" t="str">
        <f>VLOOKUP($H75,MZA!$E$2:$BJ$112,32,FALSE)</f>
        <v>18.09329665</v>
      </c>
    </row>
    <row r="76" spans="1:26" x14ac:dyDescent="0.25">
      <c r="A76" t="s">
        <v>246</v>
      </c>
      <c r="B76" t="s">
        <v>313</v>
      </c>
      <c r="C76" t="s">
        <v>329</v>
      </c>
      <c r="D76" s="1" t="str">
        <f>VLOOKUP(Zuweisungen!C76,'DIN V 18599-10'!$A$2:$B$47,2,FALSE)</f>
        <v>41</v>
      </c>
      <c r="E76" t="s">
        <v>73</v>
      </c>
      <c r="F76" t="str">
        <f>VLOOKUP(Zuweisungen!E76,'SIA 2024'!$A$2:$C$46,3,FALSE)</f>
        <v>10.1</v>
      </c>
      <c r="G76" t="str">
        <f>VLOOKUP($B76,MZA!$D$2:$D$112,1,FALSE)</f>
        <v>Logistikimmobilie mit Toren bzw. Rampen</v>
      </c>
      <c r="H76">
        <f>VLOOKUP($B76,MZA!$D$2:$E$112,2,FALSE)</f>
        <v>82</v>
      </c>
      <c r="I76" s="9" t="str">
        <f>VLOOKUP(Zuweisungen!D76,'DIN V 18599-10'!$B$2:$F$47,2,FALSE)</f>
        <v>70</v>
      </c>
      <c r="J76" s="9">
        <f>VLOOKUP(Zuweisungen!F76,'SIA 2024'!$C$2:$G$46,2,FALSE)</f>
        <v>90</v>
      </c>
      <c r="K76" s="23" t="str">
        <f>VLOOKUP($H76,MZA!$E$2:$BJ$112,57,FALSE)</f>
        <v>72.1516772</v>
      </c>
      <c r="L76" s="19" t="str">
        <f>VLOOKUP(Zuweisungen!D76,'DIN V 18599-10'!$B$2:$F$47,3,FALSE)</f>
        <v>0</v>
      </c>
      <c r="M76" s="19" t="str">
        <f>VLOOKUP(Zuweisungen!D76,'DIN V 18599-10'!$B$2:$F$47,4,FALSE)</f>
        <v>0</v>
      </c>
      <c r="N76" s="19" t="str">
        <f>VLOOKUP(Zuweisungen!D76,'DIN V 18599-10'!$B$2:$F$47,5,FALSE)</f>
        <v>0</v>
      </c>
      <c r="O76" s="10">
        <f>VLOOKUP(Zuweisungen!F76,'SIA 2024'!$C$2:$G$46,4,FALSE)</f>
        <v>0</v>
      </c>
      <c r="P76" s="11">
        <f>VLOOKUP(Zuweisungen!F76,'SIA 2024'!$C$2:$G$46,3,FALSE)</f>
        <v>0</v>
      </c>
      <c r="Q76" s="12">
        <f>VLOOKUP(Zuweisungen!F76,'SIA 2024'!$C$2:$G$46,5,FALSE)</f>
        <v>0</v>
      </c>
      <c r="R76" s="24" t="str">
        <f>VLOOKUP($H76,MZA!$E$2:$BJ$112,58,FALSE)</f>
        <v>2.764673473</v>
      </c>
      <c r="S76" s="24" t="str">
        <f>VLOOKUP($H76,MZA!$E$2:$BJ$112,58,FALSE)</f>
        <v>2.764673473</v>
      </c>
      <c r="T76" s="24" t="str">
        <f>VLOOKUP($H76,MZA!$E$2:$BJ$112,58,FALSE)</f>
        <v>2.764673473</v>
      </c>
      <c r="U76">
        <f>VLOOKUP(Zuweisungen!D76,'DIN V 18599-10'!$B$2:$H$47,6,FALSE)</f>
        <v>0</v>
      </c>
      <c r="V76">
        <f>VLOOKUP(Zuweisungen!D76,'DIN V 18599-10'!$B$2:$H$47,7,FALSE)</f>
        <v>24</v>
      </c>
      <c r="W76">
        <f>VLOOKUP(Zuweisungen!F76,'SIA 2024'!$C$2:$I$46,6,FALSE)</f>
        <v>0</v>
      </c>
      <c r="X76">
        <f>VLOOKUP(Zuweisungen!F76,'SIA 2024'!$C$2:$I$46,7,FALSE)</f>
        <v>24</v>
      </c>
      <c r="Y76" s="3" t="str">
        <f>VLOOKUP($H76,MZA!$E$2:$BJ$112,31,FALSE)</f>
        <v>1.34990564</v>
      </c>
      <c r="Z76" s="3" t="str">
        <f>VLOOKUP($H76,MZA!$E$2:$BJ$112,32,FALSE)</f>
        <v>22.80385853</v>
      </c>
    </row>
    <row r="77" spans="1:26" x14ac:dyDescent="0.25">
      <c r="A77" t="s">
        <v>246</v>
      </c>
      <c r="B77" t="s">
        <v>314</v>
      </c>
      <c r="C77" t="s">
        <v>329</v>
      </c>
      <c r="D77" s="1" t="str">
        <f>VLOOKUP(Zuweisungen!C77,'DIN V 18599-10'!$A$2:$B$47,2,FALSE)</f>
        <v>41</v>
      </c>
      <c r="E77" t="s">
        <v>73</v>
      </c>
      <c r="F77" t="str">
        <f>VLOOKUP(Zuweisungen!E77,'SIA 2024'!$A$2:$C$46,3,FALSE)</f>
        <v>10.1</v>
      </c>
      <c r="G77" t="str">
        <f>VLOOKUP($B77,MZA!$D$2:$D$112,1,FALSE)</f>
        <v>Sonstiges Gebäude für Lagerung</v>
      </c>
      <c r="H77">
        <f>VLOOKUP($B77,MZA!$D$2:$E$112,2,FALSE)</f>
        <v>83</v>
      </c>
      <c r="I77" s="9" t="str">
        <f>VLOOKUP(Zuweisungen!D77,'DIN V 18599-10'!$B$2:$F$47,2,FALSE)</f>
        <v>70</v>
      </c>
      <c r="J77" s="9">
        <f>VLOOKUP(Zuweisungen!F77,'SIA 2024'!$C$2:$G$46,2,FALSE)</f>
        <v>90</v>
      </c>
      <c r="K77" s="23" t="str">
        <f>VLOOKUP($H77,MZA!$E$2:$BJ$112,57,FALSE)</f>
        <v>72.1516772</v>
      </c>
      <c r="L77" s="19" t="str">
        <f>VLOOKUP(Zuweisungen!D77,'DIN V 18599-10'!$B$2:$F$47,3,FALSE)</f>
        <v>0</v>
      </c>
      <c r="M77" s="19" t="str">
        <f>VLOOKUP(Zuweisungen!D77,'DIN V 18599-10'!$B$2:$F$47,4,FALSE)</f>
        <v>0</v>
      </c>
      <c r="N77" s="19" t="str">
        <f>VLOOKUP(Zuweisungen!D77,'DIN V 18599-10'!$B$2:$F$47,5,FALSE)</f>
        <v>0</v>
      </c>
      <c r="O77" s="10">
        <f>VLOOKUP(Zuweisungen!F77,'SIA 2024'!$C$2:$G$46,4,FALSE)</f>
        <v>0</v>
      </c>
      <c r="P77" s="11">
        <f>VLOOKUP(Zuweisungen!F77,'SIA 2024'!$C$2:$G$46,3,FALSE)</f>
        <v>0</v>
      </c>
      <c r="Q77" s="12">
        <f>VLOOKUP(Zuweisungen!F77,'SIA 2024'!$C$2:$G$46,5,FALSE)</f>
        <v>0</v>
      </c>
      <c r="R77" s="24" t="str">
        <f>VLOOKUP($H77,MZA!$E$2:$BJ$112,58,FALSE)</f>
        <v>2.764673473</v>
      </c>
      <c r="S77" s="24" t="str">
        <f>VLOOKUP($H77,MZA!$E$2:$BJ$112,58,FALSE)</f>
        <v>2.764673473</v>
      </c>
      <c r="T77" s="24" t="str">
        <f>VLOOKUP($H77,MZA!$E$2:$BJ$112,58,FALSE)</f>
        <v>2.764673473</v>
      </c>
      <c r="U77">
        <f>VLOOKUP(Zuweisungen!D77,'DIN V 18599-10'!$B$2:$H$47,6,FALSE)</f>
        <v>0</v>
      </c>
      <c r="V77">
        <f>VLOOKUP(Zuweisungen!D77,'DIN V 18599-10'!$B$2:$H$47,7,FALSE)</f>
        <v>24</v>
      </c>
      <c r="W77">
        <f>VLOOKUP(Zuweisungen!F77,'SIA 2024'!$C$2:$I$46,6,FALSE)</f>
        <v>0</v>
      </c>
      <c r="X77">
        <f>VLOOKUP(Zuweisungen!F77,'SIA 2024'!$C$2:$I$46,7,FALSE)</f>
        <v>24</v>
      </c>
      <c r="Y77" s="3" t="str">
        <f>VLOOKUP($H77,MZA!$E$2:$BJ$112,31,FALSE)</f>
        <v>1.34990564</v>
      </c>
      <c r="Z77" s="3" t="str">
        <f>VLOOKUP($H77,MZA!$E$2:$BJ$112,32,FALSE)</f>
        <v>22.80385853</v>
      </c>
    </row>
    <row r="78" spans="1:26" x14ac:dyDescent="0.25">
      <c r="A78" t="s">
        <v>246</v>
      </c>
      <c r="B78" t="s">
        <v>315</v>
      </c>
      <c r="C78" t="s">
        <v>94</v>
      </c>
      <c r="D78" s="1" t="str">
        <f>VLOOKUP(Zuweisungen!C78,'DIN V 18599-10'!$A$2:$B$47,2,FALSE)</f>
        <v>3</v>
      </c>
      <c r="E78" t="s">
        <v>49</v>
      </c>
      <c r="F78" t="str">
        <f>VLOOKUP(Zuweisungen!E78,'SIA 2024'!$A$2:$C$46,3,FALSE)</f>
        <v>3.2</v>
      </c>
      <c r="G78" t="str">
        <f>VLOOKUP($B78,MZA!$D$2:$D$112,1,FALSE)</f>
        <v>Feuerwehr, Rettungswache</v>
      </c>
      <c r="H78">
        <f>VLOOKUP($B78,MZA!$D$2:$E$112,2,FALSE)</f>
        <v>84</v>
      </c>
      <c r="I78" s="9">
        <f>VLOOKUP(Zuweisungen!D78,'DIN V 18599-10'!$B$2:$F$47,2,FALSE)</f>
        <v>70</v>
      </c>
      <c r="J78" s="9">
        <f>VLOOKUP(Zuweisungen!F78,'SIA 2024'!$C$2:$G$46,2,FALSE)</f>
        <v>70</v>
      </c>
      <c r="K78" s="23" t="str">
        <f>VLOOKUP($H78,MZA!$E$2:$BJ$112,57,FALSE)</f>
        <v>72.5930817</v>
      </c>
      <c r="L78" s="19" t="str">
        <f>VLOOKUP(Zuweisungen!D78,'DIN V 18599-10'!$B$2:$F$47,3,FALSE)</f>
        <v>4.2</v>
      </c>
      <c r="M78" s="19" t="str">
        <f>VLOOKUP(Zuweisungen!D78,'DIN V 18599-10'!$B$2:$F$47,4,FALSE)</f>
        <v>10</v>
      </c>
      <c r="N78" s="19" t="str">
        <f>VLOOKUP(Zuweisungen!D78,'DIN V 18599-10'!$B$2:$F$47,5,FALSE)</f>
        <v>18.8</v>
      </c>
      <c r="O78" s="10">
        <f>VLOOKUP(Zuweisungen!F78,'SIA 2024'!$C$2:$G$46,4,FALSE)</f>
        <v>4</v>
      </c>
      <c r="P78" s="11">
        <f>VLOOKUP(Zuweisungen!F78,'SIA 2024'!$C$2:$G$46,3,FALSE)</f>
        <v>10</v>
      </c>
      <c r="Q78" s="12">
        <f>VLOOKUP(Zuweisungen!F78,'SIA 2024'!$C$2:$G$46,5,FALSE)</f>
        <v>19</v>
      </c>
      <c r="R78" s="24" t="str">
        <f>VLOOKUP($H78,MZA!$E$2:$BJ$112,58,FALSE)</f>
        <v>5.860549916</v>
      </c>
      <c r="S78" s="24" t="str">
        <f>VLOOKUP($H78,MZA!$E$2:$BJ$112,58,FALSE)</f>
        <v>5.860549916</v>
      </c>
      <c r="T78" s="24" t="str">
        <f>VLOOKUP($H78,MZA!$E$2:$BJ$112,58,FALSE)</f>
        <v>5.860549916</v>
      </c>
      <c r="U78">
        <f>VLOOKUP(Zuweisungen!D78,'DIN V 18599-10'!$B$2:$H$47,6,FALSE)</f>
        <v>7</v>
      </c>
      <c r="V78">
        <f>VLOOKUP(Zuweisungen!D78,'DIN V 18599-10'!$B$2:$H$47,7,FALSE)</f>
        <v>18</v>
      </c>
      <c r="W78">
        <f>VLOOKUP(Zuweisungen!F78,'SIA 2024'!$C$2:$I$46,6,FALSE)</f>
        <v>7</v>
      </c>
      <c r="X78">
        <f>VLOOKUP(Zuweisungen!F78,'SIA 2024'!$C$2:$I$46,7,FALSE)</f>
        <v>18</v>
      </c>
      <c r="Y78" s="3" t="str">
        <f>VLOOKUP($H78,MZA!$E$2:$BJ$112,31,FALSE)</f>
        <v>5.71216178</v>
      </c>
      <c r="Z78" s="3" t="str">
        <f>VLOOKUP($H78,MZA!$E$2:$BJ$112,32,FALSE)</f>
        <v>19.01405279</v>
      </c>
    </row>
    <row r="79" spans="1:26" x14ac:dyDescent="0.25">
      <c r="A79" t="s">
        <v>246</v>
      </c>
      <c r="B79" t="s">
        <v>316</v>
      </c>
      <c r="C79" t="s">
        <v>329</v>
      </c>
      <c r="D79" s="1" t="str">
        <f>VLOOKUP(Zuweisungen!C79,'DIN V 18599-10'!$A$2:$B$47,2,FALSE)</f>
        <v>41</v>
      </c>
      <c r="E79" t="s">
        <v>73</v>
      </c>
      <c r="F79" t="str">
        <f>VLOOKUP(Zuweisungen!E79,'SIA 2024'!$A$2:$C$46,3,FALSE)</f>
        <v>10.1</v>
      </c>
      <c r="G79" t="str">
        <f>VLOOKUP($B79,MZA!$D$2:$D$112,1,FALSE)</f>
        <v>Straßenmeisterei, Bauhof u.ä.</v>
      </c>
      <c r="H79">
        <f>VLOOKUP($B79,MZA!$D$2:$E$112,2,FALSE)</f>
        <v>85</v>
      </c>
      <c r="I79" s="9" t="str">
        <f>VLOOKUP(Zuweisungen!D79,'DIN V 18599-10'!$B$2:$F$47,2,FALSE)</f>
        <v>70</v>
      </c>
      <c r="J79" s="9">
        <f>VLOOKUP(Zuweisungen!F79,'SIA 2024'!$C$2:$G$46,2,FALSE)</f>
        <v>90</v>
      </c>
      <c r="K79" s="23" t="str">
        <f>VLOOKUP($H79,MZA!$E$2:$BJ$112,57,FALSE)</f>
        <v>85.61917852</v>
      </c>
      <c r="L79" s="19" t="str">
        <f>VLOOKUP(Zuweisungen!D79,'DIN V 18599-10'!$B$2:$F$47,3,FALSE)</f>
        <v>0</v>
      </c>
      <c r="M79" s="19" t="str">
        <f>VLOOKUP(Zuweisungen!D79,'DIN V 18599-10'!$B$2:$F$47,4,FALSE)</f>
        <v>0</v>
      </c>
      <c r="N79" s="19" t="str">
        <f>VLOOKUP(Zuweisungen!D79,'DIN V 18599-10'!$B$2:$F$47,5,FALSE)</f>
        <v>0</v>
      </c>
      <c r="O79" s="10">
        <f>VLOOKUP(Zuweisungen!F79,'SIA 2024'!$C$2:$G$46,4,FALSE)</f>
        <v>0</v>
      </c>
      <c r="P79" s="11">
        <f>VLOOKUP(Zuweisungen!F79,'SIA 2024'!$C$2:$G$46,3,FALSE)</f>
        <v>0</v>
      </c>
      <c r="Q79" s="12">
        <f>VLOOKUP(Zuweisungen!F79,'SIA 2024'!$C$2:$G$46,5,FALSE)</f>
        <v>0</v>
      </c>
      <c r="R79" s="24" t="str">
        <f>VLOOKUP($H79,MZA!$E$2:$BJ$112,58,FALSE)</f>
        <v>17.52835613</v>
      </c>
      <c r="S79" s="24" t="str">
        <f>VLOOKUP($H79,MZA!$E$2:$BJ$112,58,FALSE)</f>
        <v>17.52835613</v>
      </c>
      <c r="T79" s="24" t="str">
        <f>VLOOKUP($H79,MZA!$E$2:$BJ$112,58,FALSE)</f>
        <v>17.52835613</v>
      </c>
      <c r="U79">
        <f>VLOOKUP(Zuweisungen!D79,'DIN V 18599-10'!$B$2:$H$47,6,FALSE)</f>
        <v>0</v>
      </c>
      <c r="V79">
        <f>VLOOKUP(Zuweisungen!D79,'DIN V 18599-10'!$B$2:$H$47,7,FALSE)</f>
        <v>24</v>
      </c>
      <c r="W79">
        <f>VLOOKUP(Zuweisungen!F79,'SIA 2024'!$C$2:$I$46,6,FALSE)</f>
        <v>0</v>
      </c>
      <c r="X79">
        <f>VLOOKUP(Zuweisungen!F79,'SIA 2024'!$C$2:$I$46,7,FALSE)</f>
        <v>24</v>
      </c>
      <c r="Y79" s="3" t="str">
        <f>VLOOKUP($H79,MZA!$E$2:$BJ$112,31,FALSE)</f>
        <v>6.181803308</v>
      </c>
      <c r="Z79" s="3" t="str">
        <f>VLOOKUP($H79,MZA!$E$2:$BJ$112,32,FALSE)</f>
        <v>18.09329665</v>
      </c>
    </row>
    <row r="80" spans="1:26" x14ac:dyDescent="0.25">
      <c r="A80" t="s">
        <v>246</v>
      </c>
      <c r="B80" t="s">
        <v>317</v>
      </c>
      <c r="C80" t="s">
        <v>151</v>
      </c>
      <c r="D80" s="1" t="str">
        <f>VLOOKUP(Zuweisungen!C80,'DIN V 18599-10'!$A$2:$B$47,2,FALSE)</f>
        <v>32</v>
      </c>
      <c r="E80" t="s">
        <v>85</v>
      </c>
      <c r="F80" t="str">
        <f>VLOOKUP(Zuweisungen!E80,'SIA 2024'!$A$2:$C$46,3,FALSE)</f>
        <v>12.9</v>
      </c>
      <c r="G80" t="str">
        <f>VLOOKUP($B80,MZA!$D$2:$D$112,1,FALSE)</f>
        <v>Fuhrpark</v>
      </c>
      <c r="H80">
        <f>VLOOKUP($B80,MZA!$D$2:$E$112,2,FALSE)</f>
        <v>86</v>
      </c>
      <c r="I80" s="9" t="str">
        <f>VLOOKUP(Zuweisungen!D80,'DIN V 18599-10'!$B$2:$F$47,2,FALSE)</f>
        <v>70</v>
      </c>
      <c r="J80" s="9">
        <f>VLOOKUP(Zuweisungen!F80,'SIA 2024'!$C$2:$G$46,2,FALSE)</f>
        <v>70</v>
      </c>
      <c r="K80" s="23" t="str">
        <f>VLOOKUP($H80,MZA!$E$2:$BJ$112,57,FALSE)</f>
        <v>85.61917852</v>
      </c>
      <c r="L80" s="19" t="str">
        <f>VLOOKUP(Zuweisungen!D80,'DIN V 18599-10'!$B$2:$F$47,3,FALSE)</f>
        <v>0</v>
      </c>
      <c r="M80" s="19" t="str">
        <f>VLOOKUP(Zuweisungen!D80,'DIN V 18599-10'!$B$2:$F$47,4,FALSE)</f>
        <v>0</v>
      </c>
      <c r="N80" s="19" t="str">
        <f>VLOOKUP(Zuweisungen!D80,'DIN V 18599-10'!$B$2:$F$47,5,FALSE)</f>
        <v>0</v>
      </c>
      <c r="O80" s="10" t="str">
        <f>VLOOKUP(Zuweisungen!F80,'SIA 2024'!$C$2:$G$46,4,FALSE)</f>
        <v>0.5</v>
      </c>
      <c r="P80" s="11">
        <f>VLOOKUP(Zuweisungen!F80,'SIA 2024'!$C$2:$G$46,3,FALSE)</f>
        <v>1</v>
      </c>
      <c r="Q80" s="12">
        <f>VLOOKUP(Zuweisungen!F80,'SIA 2024'!$C$2:$G$46,5,FALSE)</f>
        <v>2</v>
      </c>
      <c r="R80" s="24" t="str">
        <f>VLOOKUP($H80,MZA!$E$2:$BJ$112,58,FALSE)</f>
        <v>17.52835613</v>
      </c>
      <c r="S80" s="24" t="str">
        <f>VLOOKUP($H80,MZA!$E$2:$BJ$112,58,FALSE)</f>
        <v>17.52835613</v>
      </c>
      <c r="T80" s="24" t="str">
        <f>VLOOKUP($H80,MZA!$E$2:$BJ$112,58,FALSE)</f>
        <v>17.52835613</v>
      </c>
      <c r="U80">
        <f>VLOOKUP(Zuweisungen!D80,'DIN V 18599-10'!$B$2:$H$47,6,FALSE)</f>
        <v>7</v>
      </c>
      <c r="V80">
        <f>VLOOKUP(Zuweisungen!D80,'DIN V 18599-10'!$B$2:$H$47,7,FALSE)</f>
        <v>18</v>
      </c>
      <c r="W80">
        <f>VLOOKUP(Zuweisungen!F80,'SIA 2024'!$C$2:$I$46,6,FALSE)</f>
        <v>7</v>
      </c>
      <c r="X80">
        <f>VLOOKUP(Zuweisungen!F80,'SIA 2024'!$C$2:$I$46,7,FALSE)</f>
        <v>18</v>
      </c>
      <c r="Y80" s="3" t="str">
        <f>VLOOKUP($H80,MZA!$E$2:$BJ$112,31,FALSE)</f>
        <v>6.181803308</v>
      </c>
      <c r="Z80" s="3" t="str">
        <f>VLOOKUP($H80,MZA!$E$2:$BJ$112,32,FALSE)</f>
        <v>18.09329665</v>
      </c>
    </row>
    <row r="81" spans="1:26" x14ac:dyDescent="0.25">
      <c r="A81" t="s">
        <v>246</v>
      </c>
      <c r="B81" t="s">
        <v>318</v>
      </c>
      <c r="C81" t="s">
        <v>117</v>
      </c>
      <c r="D81" s="1" t="str">
        <f>VLOOKUP(Zuweisungen!C81,'DIN V 18599-10'!$A$2:$B$47,2,FALSE)</f>
        <v>15</v>
      </c>
      <c r="E81" t="s">
        <v>224</v>
      </c>
      <c r="F81" t="str">
        <f>VLOOKUP(Zuweisungen!E81,'SIA 2024'!$A$2:$C$46,3,FALSE)</f>
        <v>12.5</v>
      </c>
      <c r="G81" t="str">
        <f>VLOOKUP($B81,MZA!$D$2:$D$112,1,FALSE)</f>
        <v>zentrales Wirtschaftsgebäude (z.B. Zentralküche oder -wäscherei in Krankenhaus)</v>
      </c>
      <c r="H81">
        <f>VLOOKUP($B81,MZA!$D$2:$E$112,2,FALSE)</f>
        <v>87</v>
      </c>
      <c r="I81" s="9" t="str">
        <f>VLOOKUP(Zuweisungen!D81,'DIN V 18599-10'!$B$2:$F$47,2,FALSE)</f>
        <v>80</v>
      </c>
      <c r="J81" s="9">
        <f>VLOOKUP(Zuweisungen!F81,'SIA 2024'!$C$2:$G$46,2,FALSE)</f>
        <v>70</v>
      </c>
      <c r="K81" s="23" t="str">
        <f>VLOOKUP($H81,MZA!$E$2:$BJ$112,57,FALSE)</f>
        <v>85.61917852</v>
      </c>
      <c r="L81" s="19" t="str">
        <f>VLOOKUP(Zuweisungen!D81,'DIN V 18599-10'!$B$2:$F$47,3,FALSE)</f>
        <v>20</v>
      </c>
      <c r="M81" s="19" t="str">
        <f>VLOOKUP(Zuweisungen!D81,'DIN V 18599-10'!$B$2:$F$47,4,FALSE)</f>
        <v>30</v>
      </c>
      <c r="N81" s="19" t="str">
        <f>VLOOKUP(Zuweisungen!D81,'DIN V 18599-10'!$B$2:$F$47,5,FALSE)</f>
        <v>40</v>
      </c>
      <c r="O81" s="10">
        <f>VLOOKUP(Zuweisungen!F81,'SIA 2024'!$C$2:$G$46,4,FALSE)</f>
        <v>30</v>
      </c>
      <c r="P81" s="11">
        <f>VLOOKUP(Zuweisungen!F81,'SIA 2024'!$C$2:$G$46,3,FALSE)</f>
        <v>40</v>
      </c>
      <c r="Q81" s="12">
        <f>VLOOKUP(Zuweisungen!F81,'SIA 2024'!$C$2:$G$46,5,FALSE)</f>
        <v>50</v>
      </c>
      <c r="R81" s="24" t="str">
        <f>VLOOKUP($H81,MZA!$E$2:$BJ$112,58,FALSE)</f>
        <v>17.52835613</v>
      </c>
      <c r="S81" s="24" t="str">
        <f>VLOOKUP($H81,MZA!$E$2:$BJ$112,58,FALSE)</f>
        <v>17.52835613</v>
      </c>
      <c r="T81" s="24" t="str">
        <f>VLOOKUP($H81,MZA!$E$2:$BJ$112,58,FALSE)</f>
        <v>17.52835613</v>
      </c>
      <c r="U81">
        <f>VLOOKUP(Zuweisungen!D81,'DIN V 18599-10'!$B$2:$H$47,6,FALSE)</f>
        <v>10</v>
      </c>
      <c r="V81">
        <f>VLOOKUP(Zuweisungen!D81,'DIN V 18599-10'!$B$2:$H$47,7,FALSE)</f>
        <v>23</v>
      </c>
      <c r="W81">
        <f>VLOOKUP(Zuweisungen!F81,'SIA 2024'!$C$2:$I$46,6,FALSE)</f>
        <v>7</v>
      </c>
      <c r="X81">
        <f>VLOOKUP(Zuweisungen!F81,'SIA 2024'!$C$2:$I$46,7,FALSE)</f>
        <v>18</v>
      </c>
      <c r="Y81" s="3" t="str">
        <f>VLOOKUP($H81,MZA!$E$2:$BJ$112,31,FALSE)</f>
        <v>6.181803308</v>
      </c>
      <c r="Z81" s="3" t="str">
        <f>VLOOKUP($H81,MZA!$E$2:$BJ$112,32,FALSE)</f>
        <v>18.09329665</v>
      </c>
    </row>
    <row r="82" spans="1:26" x14ac:dyDescent="0.25">
      <c r="A82" t="s">
        <v>246</v>
      </c>
      <c r="B82" t="s">
        <v>17</v>
      </c>
      <c r="C82" t="s">
        <v>17</v>
      </c>
      <c r="D82" s="1" t="str">
        <f>VLOOKUP(Zuweisungen!C82,'DIN V 18599-10'!$A$2:$B$47,2,FALSE)</f>
        <v>21</v>
      </c>
      <c r="E82" t="s">
        <v>75</v>
      </c>
      <c r="F82" t="str">
        <f>VLOOKUP(Zuweisungen!E82,'SIA 2024'!$A$2:$C$46,3,FALSE)</f>
        <v>12.12</v>
      </c>
      <c r="G82" t="str">
        <f>VLOOKUP($B82,MZA!$D$2:$D$112,1,FALSE)</f>
        <v>Rechenzentrum</v>
      </c>
      <c r="H82">
        <f>VLOOKUP($B82,MZA!$D$2:$E$112,2,FALSE)</f>
        <v>88</v>
      </c>
      <c r="I82" s="9" t="str">
        <f>VLOOKUP(Zuweisungen!D82,'DIN V 18599-10'!$B$2:$F$47,2,FALSE)</f>
        <v>70</v>
      </c>
      <c r="J82" s="9">
        <f>VLOOKUP(Zuweisungen!F82,'SIA 2024'!$C$2:$G$46,2,FALSE)</f>
        <v>70</v>
      </c>
      <c r="K82" s="23" t="str">
        <f>VLOOKUP($H82,MZA!$E$2:$BJ$112,57,FALSE)</f>
        <v>70.01444246</v>
      </c>
      <c r="L82" s="19" t="str">
        <f>VLOOKUP(Zuweisungen!D82,'DIN V 18599-10'!$B$2:$F$47,3,FALSE)</f>
        <v>50</v>
      </c>
      <c r="M82" s="19" t="str">
        <f>VLOOKUP(Zuweisungen!D82,'DIN V 18599-10'!$B$2:$F$47,4,FALSE)</f>
        <v>150</v>
      </c>
      <c r="N82" s="19" t="str">
        <f>VLOOKUP(Zuweisungen!D82,'DIN V 18599-10'!$B$2:$F$47,5,FALSE)</f>
        <v>500</v>
      </c>
      <c r="O82" s="10" t="str">
        <f>VLOOKUP(Zuweisungen!F82,'SIA 2024'!$C$2:$G$46,4,FALSE)</f>
        <v>50</v>
      </c>
      <c r="P82" s="11" t="str">
        <f>VLOOKUP(Zuweisungen!F82,'SIA 2024'!$C$2:$G$46,3,FALSE)</f>
        <v>100</v>
      </c>
      <c r="Q82" s="12" t="str">
        <f>VLOOKUP(Zuweisungen!F82,'SIA 2024'!$C$2:$G$46,5,FALSE)</f>
        <v>150</v>
      </c>
      <c r="R82" s="24" t="str">
        <f>VLOOKUP($H82,MZA!$E$2:$BJ$112,58,FALSE)</f>
        <v>69.89643712</v>
      </c>
      <c r="S82" s="24" t="str">
        <f>VLOOKUP($H82,MZA!$E$2:$BJ$112,58,FALSE)</f>
        <v>69.89643712</v>
      </c>
      <c r="T82" s="24" t="str">
        <f>VLOOKUP($H82,MZA!$E$2:$BJ$112,58,FALSE)</f>
        <v>69.89643712</v>
      </c>
      <c r="U82">
        <f>VLOOKUP(Zuweisungen!D82,'DIN V 18599-10'!$B$2:$H$47,6,FALSE)</f>
        <v>0</v>
      </c>
      <c r="V82">
        <f>VLOOKUP(Zuweisungen!D82,'DIN V 18599-10'!$B$2:$H$47,7,FALSE)</f>
        <v>24</v>
      </c>
      <c r="W82">
        <f>VLOOKUP(Zuweisungen!F82,'SIA 2024'!$C$2:$I$46,6,FALSE)</f>
        <v>7</v>
      </c>
      <c r="X82">
        <f>VLOOKUP(Zuweisungen!F82,'SIA 2024'!$C$2:$I$46,7,FALSE)</f>
        <v>18</v>
      </c>
      <c r="Y82" s="3" t="str">
        <f>VLOOKUP($H82,MZA!$E$2:$BJ$112,31,FALSE)</f>
        <v>2.452026152</v>
      </c>
      <c r="Z82" s="3" t="str">
        <f>VLOOKUP($H82,MZA!$E$2:$BJ$112,32,FALSE)</f>
        <v>21.90675333</v>
      </c>
    </row>
    <row r="83" spans="1:26" x14ac:dyDescent="0.25">
      <c r="A83" t="s">
        <v>18</v>
      </c>
      <c r="B83" t="s">
        <v>330</v>
      </c>
      <c r="C83" s="1" t="s">
        <v>101</v>
      </c>
      <c r="D83" s="1" t="str">
        <f>VLOOKUP(Zuweisungen!C83,'DIN V 18599-10'!$A$2:$B$47,2,FALSE)</f>
        <v>7</v>
      </c>
      <c r="E83" t="s">
        <v>79</v>
      </c>
      <c r="F83" t="str">
        <f>VLOOKUP(Zuweisungen!E83,'SIA 2024'!$A$2:$C$46,3,FALSE)</f>
        <v>5.1</v>
      </c>
      <c r="G83" t="str">
        <f>VLOOKUP($B83,MZA!$D$2:$D$112,1,FALSE)</f>
        <v>Handelsgebäude des Lebensmitteleinzel- und -großhandels</v>
      </c>
      <c r="H83">
        <f>VLOOKUP($B83,MZA!$D$2:$E$112,2,FALSE)</f>
        <v>90</v>
      </c>
      <c r="I83" s="9">
        <f>VLOOKUP(Zuweisungen!D83,'DIN V 18599-10'!$B$2:$F$47,2,FALSE)</f>
        <v>70</v>
      </c>
      <c r="J83" s="9">
        <f>VLOOKUP(Zuweisungen!F83,'SIA 2024'!$C$2:$G$46,2,FALSE)</f>
        <v>70</v>
      </c>
      <c r="K83" s="23" t="str">
        <f>VLOOKUP($H83,MZA!$E$2:$BJ$112,57,FALSE)</f>
        <v>70.41779925</v>
      </c>
      <c r="L83" s="19" t="str">
        <f>VLOOKUP(Zuweisungen!D83,'DIN V 18599-10'!$B$2:$F$47,3,FALSE)</f>
        <v>-12</v>
      </c>
      <c r="M83" s="19" t="str">
        <f>VLOOKUP(Zuweisungen!D83,'DIN V 18599-10'!$B$2:$F$47,4,FALSE)</f>
        <v>-10</v>
      </c>
      <c r="N83" s="19" t="str">
        <f>VLOOKUP(Zuweisungen!D83,'DIN V 18599-10'!$B$2:$F$47,5,FALSE)</f>
        <v>-8</v>
      </c>
      <c r="O83" s="10">
        <f>VLOOKUP(Zuweisungen!F83,'SIA 2024'!$C$2:$G$46,4,FALSE)</f>
        <v>-8</v>
      </c>
      <c r="P83" s="11">
        <f>VLOOKUP(Zuweisungen!F83,'SIA 2024'!$C$2:$G$46,3,FALSE)</f>
        <v>-10</v>
      </c>
      <c r="Q83" s="12">
        <f>VLOOKUP(Zuweisungen!F83,'SIA 2024'!$C$2:$G$46,5,FALSE)</f>
        <v>-12</v>
      </c>
      <c r="R83" s="24" t="str">
        <f>VLOOKUP($H83,MZA!$E$2:$BJ$112,58,FALSE)</f>
        <v>-1.609946483</v>
      </c>
      <c r="S83" s="24" t="str">
        <f>VLOOKUP($H83,MZA!$E$2:$BJ$112,58,FALSE)</f>
        <v>-1.609946483</v>
      </c>
      <c r="T83" s="24" t="str">
        <f>VLOOKUP($H83,MZA!$E$2:$BJ$112,58,FALSE)</f>
        <v>-1.609946483</v>
      </c>
      <c r="U83">
        <f>VLOOKUP(Zuweisungen!D83,'DIN V 18599-10'!$B$2:$H$47,6,FALSE)</f>
        <v>8</v>
      </c>
      <c r="V83">
        <f>VLOOKUP(Zuweisungen!D83,'DIN V 18599-10'!$B$2:$H$47,7,FALSE)</f>
        <v>20</v>
      </c>
      <c r="W83">
        <f>VLOOKUP(Zuweisungen!F83,'SIA 2024'!$C$2:$I$46,6,FALSE)</f>
        <v>7</v>
      </c>
      <c r="X83">
        <f>VLOOKUP(Zuweisungen!F83,'SIA 2024'!$C$2:$I$46,7,FALSE)</f>
        <v>20</v>
      </c>
      <c r="Y83" s="3" t="str">
        <f>VLOOKUP($H83,MZA!$E$2:$BJ$112,31,FALSE)</f>
        <v>7.639469604</v>
      </c>
      <c r="Z83" s="3" t="str">
        <f>VLOOKUP($H83,MZA!$E$2:$BJ$112,32,FALSE)</f>
        <v>19.59300263</v>
      </c>
    </row>
    <row r="84" spans="1:26" x14ac:dyDescent="0.25">
      <c r="A84" t="s">
        <v>18</v>
      </c>
      <c r="B84" t="s">
        <v>319</v>
      </c>
      <c r="C84" t="s">
        <v>99</v>
      </c>
      <c r="D84" s="1" t="str">
        <f>VLOOKUP(Zuweisungen!C84,'DIN V 18599-10'!$A$2:$B$47,2,FALSE)</f>
        <v>6</v>
      </c>
      <c r="E84" t="s">
        <v>83</v>
      </c>
      <c r="F84" t="str">
        <f>VLOOKUP(Zuweisungen!E84,'SIA 2024'!$A$2:$C$46,3,FALSE)</f>
        <v>5.2</v>
      </c>
      <c r="G84" t="str">
        <f>VLOOKUP($B84,MZA!$D$2:$D$112,1,FALSE)</f>
        <v>Handelsgebäude des Non-Food-Einzel- und -Großhandels</v>
      </c>
      <c r="H84">
        <f>VLOOKUP($B84,MZA!$D$2:$E$112,2,FALSE)</f>
        <v>91</v>
      </c>
      <c r="I84" s="9">
        <f>VLOOKUP(Zuweisungen!D84,'DIN V 18599-10'!$B$2:$F$47,2,FALSE)</f>
        <v>70</v>
      </c>
      <c r="J84" s="9">
        <f>VLOOKUP(Zuweisungen!F84,'SIA 2024'!$C$2:$G$46,2,FALSE)</f>
        <v>70</v>
      </c>
      <c r="K84" s="23" t="str">
        <f>VLOOKUP($H84,MZA!$E$2:$BJ$112,57,FALSE)</f>
        <v>70.43195692</v>
      </c>
      <c r="L84" s="19" t="str">
        <f>VLOOKUP(Zuweisungen!D84,'DIN V 18599-10'!$B$2:$F$47,3,FALSE)</f>
        <v>1</v>
      </c>
      <c r="M84" s="19" t="str">
        <f>VLOOKUP(Zuweisungen!D84,'DIN V 18599-10'!$B$2:$F$47,4,FALSE)</f>
        <v>2</v>
      </c>
      <c r="N84" s="19" t="str">
        <f>VLOOKUP(Zuweisungen!D84,'DIN V 18599-10'!$B$2:$F$47,5,FALSE)</f>
        <v>3</v>
      </c>
      <c r="O84" s="10">
        <f>VLOOKUP(Zuweisungen!F84,'SIA 2024'!$C$2:$G$46,4,FALSE)</f>
        <v>1</v>
      </c>
      <c r="P84" s="11">
        <f>VLOOKUP(Zuweisungen!F84,'SIA 2024'!$C$2:$G$46,3,FALSE)</f>
        <v>2</v>
      </c>
      <c r="Q84" s="12">
        <f>VLOOKUP(Zuweisungen!F84,'SIA 2024'!$C$2:$G$46,5,FALSE)</f>
        <v>3</v>
      </c>
      <c r="R84" s="24" t="str">
        <f>VLOOKUP($H84,MZA!$E$2:$BJ$112,58,FALSE)</f>
        <v>0.334961847</v>
      </c>
      <c r="S84" s="24" t="str">
        <f>VLOOKUP($H84,MZA!$E$2:$BJ$112,58,FALSE)</f>
        <v>0.334961847</v>
      </c>
      <c r="T84" s="24" t="str">
        <f>VLOOKUP($H84,MZA!$E$2:$BJ$112,58,FALSE)</f>
        <v>0.334961847</v>
      </c>
      <c r="U84">
        <f>VLOOKUP(Zuweisungen!D84,'DIN V 18599-10'!$B$2:$H$47,6,FALSE)</f>
        <v>8</v>
      </c>
      <c r="V84">
        <f>VLOOKUP(Zuweisungen!D84,'DIN V 18599-10'!$B$2:$H$47,7,FALSE)</f>
        <v>20</v>
      </c>
      <c r="W84">
        <f>VLOOKUP(Zuweisungen!F84,'SIA 2024'!$C$2:$I$46,6,FALSE)</f>
        <v>7</v>
      </c>
      <c r="X84">
        <f>VLOOKUP(Zuweisungen!F84,'SIA 2024'!$C$2:$I$46,7,FALSE)</f>
        <v>20</v>
      </c>
      <c r="Y84" s="3" t="str">
        <f>VLOOKUP($H84,MZA!$E$2:$BJ$112,31,FALSE)</f>
        <v>7.769772867</v>
      </c>
      <c r="Z84" s="3" t="str">
        <f>VLOOKUP($H84,MZA!$E$2:$BJ$112,32,FALSE)</f>
        <v>19.7104558</v>
      </c>
    </row>
    <row r="85" spans="1:26" x14ac:dyDescent="0.25">
      <c r="A85" t="s">
        <v>18</v>
      </c>
      <c r="B85" t="s">
        <v>320</v>
      </c>
      <c r="C85" t="s">
        <v>19</v>
      </c>
      <c r="D85" s="1" t="str">
        <f>VLOOKUP(Zuweisungen!C85,'DIN V 18599-10'!$A$2:$B$47,2,FALSE)</f>
        <v>5</v>
      </c>
      <c r="E85" t="s">
        <v>87</v>
      </c>
      <c r="F85" t="str">
        <f>VLOOKUP(Zuweisungen!E85,'SIA 2024'!$A$2:$C$46,3,FALSE)</f>
        <v>3.4</v>
      </c>
      <c r="G85" t="str">
        <f>VLOOKUP($B85,MZA!$D$2:$D$112,1,FALSE)</f>
        <v>Einkaufszentrum, Shopping-Mall</v>
      </c>
      <c r="H85">
        <f>VLOOKUP($B85,MZA!$D$2:$E$112,2,FALSE)</f>
        <v>92</v>
      </c>
      <c r="I85" s="9">
        <f>VLOOKUP(Zuweisungen!D85,'DIN V 18599-10'!$B$2:$F$47,2,FALSE)</f>
        <v>70</v>
      </c>
      <c r="J85" s="9">
        <f>VLOOKUP(Zuweisungen!F85,'SIA 2024'!$C$2:$G$46,2,FALSE)</f>
        <v>70</v>
      </c>
      <c r="K85" s="23" t="str">
        <f>VLOOKUP($H85,MZA!$E$2:$BJ$112,57,FALSE)</f>
        <v>70.43195692</v>
      </c>
      <c r="L85" s="19" t="str">
        <f>VLOOKUP(Zuweisungen!D85,'DIN V 18599-10'!$B$2:$F$47,3,FALSE)</f>
        <v>1.5</v>
      </c>
      <c r="M85" s="19" t="str">
        <f>VLOOKUP(Zuweisungen!D85,'DIN V 18599-10'!$B$2:$F$47,4,FALSE)</f>
        <v>4</v>
      </c>
      <c r="N85" s="19" t="str">
        <f>VLOOKUP(Zuweisungen!D85,'DIN V 18599-10'!$B$2:$F$47,5,FALSE)</f>
        <v>9.5</v>
      </c>
      <c r="O85" s="10" t="str">
        <f>VLOOKUP(Zuweisungen!F85,'SIA 2024'!$C$2:$G$46,4,FALSE)</f>
        <v>1.5</v>
      </c>
      <c r="P85" s="11">
        <f>VLOOKUP(Zuweisungen!F85,'SIA 2024'!$C$2:$G$46,3,FALSE)</f>
        <v>4</v>
      </c>
      <c r="Q85" s="12" t="str">
        <f>VLOOKUP(Zuweisungen!F85,'SIA 2024'!$C$2:$G$46,5,FALSE)</f>
        <v>9.5</v>
      </c>
      <c r="R85" s="24" t="str">
        <f>VLOOKUP($H85,MZA!$E$2:$BJ$112,58,FALSE)</f>
        <v>0.334961847</v>
      </c>
      <c r="S85" s="24" t="str">
        <f>VLOOKUP($H85,MZA!$E$2:$BJ$112,58,FALSE)</f>
        <v>0.334961847</v>
      </c>
      <c r="T85" s="24" t="str">
        <f>VLOOKUP($H85,MZA!$E$2:$BJ$112,58,FALSE)</f>
        <v>0.334961847</v>
      </c>
      <c r="U85">
        <f>VLOOKUP(Zuweisungen!D85,'DIN V 18599-10'!$B$2:$H$47,6,FALSE)</f>
        <v>7</v>
      </c>
      <c r="V85">
        <f>VLOOKUP(Zuweisungen!D85,'DIN V 18599-10'!$B$2:$H$47,7,FALSE)</f>
        <v>18</v>
      </c>
      <c r="W85">
        <f>VLOOKUP(Zuweisungen!F85,'SIA 2024'!$C$2:$I$46,6,FALSE)</f>
        <v>7</v>
      </c>
      <c r="X85">
        <f>VLOOKUP(Zuweisungen!F85,'SIA 2024'!$C$2:$I$46,7,FALSE)</f>
        <v>18</v>
      </c>
      <c r="Y85" s="3" t="str">
        <f>VLOOKUP($H85,MZA!$E$2:$BJ$112,31,FALSE)</f>
        <v>7.769772867</v>
      </c>
      <c r="Z85" s="3" t="str">
        <f>VLOOKUP($H85,MZA!$E$2:$BJ$112,32,FALSE)</f>
        <v>19.7104558</v>
      </c>
    </row>
    <row r="86" spans="1:26" x14ac:dyDescent="0.25">
      <c r="A86" t="s">
        <v>18</v>
      </c>
      <c r="B86" t="s">
        <v>22</v>
      </c>
      <c r="C86" s="1" t="s">
        <v>101</v>
      </c>
      <c r="D86" s="1" t="str">
        <f>VLOOKUP(Zuweisungen!C86,'DIN V 18599-10'!$A$2:$B$47,2,FALSE)</f>
        <v>7</v>
      </c>
      <c r="E86" t="s">
        <v>79</v>
      </c>
      <c r="F86" t="str">
        <f>VLOOKUP(Zuweisungen!E86,'SIA 2024'!$A$2:$C$46,3,FALSE)</f>
        <v>5.1</v>
      </c>
      <c r="G86" t="str">
        <f>VLOOKUP($B86,MZA!$D$2:$D$112,1,FALSE)</f>
        <v>Markthalle</v>
      </c>
      <c r="H86">
        <f>VLOOKUP($B86,MZA!$D$2:$E$112,2,FALSE)</f>
        <v>93</v>
      </c>
      <c r="I86" s="9">
        <f>VLOOKUP(Zuweisungen!D86,'DIN V 18599-10'!$B$2:$F$47,2,FALSE)</f>
        <v>70</v>
      </c>
      <c r="J86" s="9">
        <f>VLOOKUP(Zuweisungen!F86,'SIA 2024'!$C$2:$G$46,2,FALSE)</f>
        <v>70</v>
      </c>
      <c r="K86" s="23" t="str">
        <f>VLOOKUP($H86,MZA!$E$2:$BJ$112,57,FALSE)</f>
        <v>70.41779925</v>
      </c>
      <c r="L86" s="19" t="str">
        <f>VLOOKUP(Zuweisungen!D86,'DIN V 18599-10'!$B$2:$F$47,3,FALSE)</f>
        <v>-12</v>
      </c>
      <c r="M86" s="19" t="str">
        <f>VLOOKUP(Zuweisungen!D86,'DIN V 18599-10'!$B$2:$F$47,4,FALSE)</f>
        <v>-10</v>
      </c>
      <c r="N86" s="19" t="str">
        <f>VLOOKUP(Zuweisungen!D86,'DIN V 18599-10'!$B$2:$F$47,5,FALSE)</f>
        <v>-8</v>
      </c>
      <c r="O86" s="10">
        <f>VLOOKUP(Zuweisungen!F86,'SIA 2024'!$C$2:$G$46,4,FALSE)</f>
        <v>-8</v>
      </c>
      <c r="P86" s="11">
        <f>VLOOKUP(Zuweisungen!F86,'SIA 2024'!$C$2:$G$46,3,FALSE)</f>
        <v>-10</v>
      </c>
      <c r="Q86" s="12">
        <f>VLOOKUP(Zuweisungen!F86,'SIA 2024'!$C$2:$G$46,5,FALSE)</f>
        <v>-12</v>
      </c>
      <c r="R86" s="24" t="str">
        <f>VLOOKUP($H86,MZA!$E$2:$BJ$112,58,FALSE)</f>
        <v>-1.609946483</v>
      </c>
      <c r="S86" s="24" t="str">
        <f>VLOOKUP($H86,MZA!$E$2:$BJ$112,58,FALSE)</f>
        <v>-1.609946483</v>
      </c>
      <c r="T86" s="24" t="str">
        <f>VLOOKUP($H86,MZA!$E$2:$BJ$112,58,FALSE)</f>
        <v>-1.609946483</v>
      </c>
      <c r="U86">
        <f>VLOOKUP(Zuweisungen!D86,'DIN V 18599-10'!$B$2:$H$47,6,FALSE)</f>
        <v>8</v>
      </c>
      <c r="V86">
        <f>VLOOKUP(Zuweisungen!D86,'DIN V 18599-10'!$B$2:$H$47,7,FALSE)</f>
        <v>20</v>
      </c>
      <c r="W86">
        <f>VLOOKUP(Zuweisungen!F86,'SIA 2024'!$C$2:$I$46,6,FALSE)</f>
        <v>7</v>
      </c>
      <c r="X86">
        <f>VLOOKUP(Zuweisungen!F86,'SIA 2024'!$C$2:$I$46,7,FALSE)</f>
        <v>20</v>
      </c>
      <c r="Y86" s="3" t="str">
        <f>VLOOKUP($H86,MZA!$E$2:$BJ$112,31,FALSE)</f>
        <v>7.639469604</v>
      </c>
      <c r="Z86" s="3" t="str">
        <f>VLOOKUP($H86,MZA!$E$2:$BJ$112,32,FALSE)</f>
        <v>19.59300263</v>
      </c>
    </row>
    <row r="87" spans="1:26" x14ac:dyDescent="0.25">
      <c r="A87" t="s">
        <v>18</v>
      </c>
      <c r="B87" t="s">
        <v>23</v>
      </c>
      <c r="C87" s="1" t="s">
        <v>139</v>
      </c>
      <c r="D87" s="1" t="str">
        <f>VLOOKUP(Zuweisungen!C87,'DIN V 18599-10'!$A$2:$B$47,2,FALSE)</f>
        <v>26</v>
      </c>
      <c r="E87" s="3" t="s">
        <v>58</v>
      </c>
      <c r="F87" t="str">
        <f>VLOOKUP(Zuweisungen!E87,'SIA 2024'!$A$2:$C$46,3,FALSE)</f>
        <v>7.3</v>
      </c>
      <c r="G87" t="str">
        <f>VLOOKUP($B87,MZA!$D$2:$D$112,1,FALSE)</f>
        <v>Messehalle</v>
      </c>
      <c r="H87">
        <f>VLOOKUP($B87,MZA!$D$2:$E$112,2,FALSE)</f>
        <v>94</v>
      </c>
      <c r="I87" s="9" t="str">
        <f>VLOOKUP(Zuweisungen!D87,'DIN V 18599-10'!$B$2:$F$47,2,FALSE)</f>
        <v>70</v>
      </c>
      <c r="J87" s="9">
        <f>VLOOKUP(Zuweisungen!F87,'SIA 2024'!$C$2:$G$46,2,FALSE)</f>
        <v>70</v>
      </c>
      <c r="K87" s="23" t="str">
        <f>VLOOKUP($H87,MZA!$E$2:$BJ$112,57,FALSE)</f>
        <v>71.33187675</v>
      </c>
      <c r="L87" s="19" t="str">
        <f>VLOOKUP(Zuweisungen!D87,'DIN V 18599-10'!$B$2:$F$47,3,FALSE)</f>
        <v>1</v>
      </c>
      <c r="M87" s="19" t="str">
        <f>VLOOKUP(Zuweisungen!D87,'DIN V 18599-10'!$B$2:$F$47,4,FALSE)</f>
        <v>2</v>
      </c>
      <c r="N87" s="19" t="str">
        <f>VLOOKUP(Zuweisungen!D87,'DIN V 18599-10'!$B$2:$F$47,5,FALSE)</f>
        <v>3</v>
      </c>
      <c r="O87" s="10">
        <f>VLOOKUP(Zuweisungen!F87,'SIA 2024'!$C$2:$G$46,4,FALSE)</f>
        <v>3</v>
      </c>
      <c r="P87" s="11">
        <f>VLOOKUP(Zuweisungen!F87,'SIA 2024'!$C$2:$G$46,3,FALSE)</f>
        <v>7</v>
      </c>
      <c r="Q87" s="12">
        <f>VLOOKUP(Zuweisungen!F87,'SIA 2024'!$C$2:$G$46,5,FALSE)</f>
        <v>15</v>
      </c>
      <c r="R87" s="24" t="str">
        <f>VLOOKUP($H87,MZA!$E$2:$BJ$112,58,FALSE)</f>
        <v>6.039713016</v>
      </c>
      <c r="S87" s="24" t="str">
        <f>VLOOKUP($H87,MZA!$E$2:$BJ$112,58,FALSE)</f>
        <v>6.039713016</v>
      </c>
      <c r="T87" s="24" t="str">
        <f>VLOOKUP($H87,MZA!$E$2:$BJ$112,58,FALSE)</f>
        <v>6.039713016</v>
      </c>
      <c r="U87">
        <f>VLOOKUP(Zuweisungen!D87,'DIN V 18599-10'!$B$2:$H$47,6,FALSE)</f>
        <v>13</v>
      </c>
      <c r="V87">
        <f>VLOOKUP(Zuweisungen!D87,'DIN V 18599-10'!$B$2:$H$47,7,FALSE)</f>
        <v>18</v>
      </c>
      <c r="W87">
        <f>VLOOKUP(Zuweisungen!F87,'SIA 2024'!$C$2:$I$46,6,FALSE)</f>
        <v>7</v>
      </c>
      <c r="X87">
        <f>VLOOKUP(Zuweisungen!F87,'SIA 2024'!$C$2:$I$46,7,FALSE)</f>
        <v>23</v>
      </c>
      <c r="Y87" s="3" t="str">
        <f>VLOOKUP($H87,MZA!$E$2:$BJ$112,31,FALSE)</f>
        <v>8.320926423</v>
      </c>
      <c r="Z87" s="3" t="str">
        <f>VLOOKUP($H87,MZA!$E$2:$BJ$112,32,FALSE)</f>
        <v>19.02160926</v>
      </c>
    </row>
    <row r="88" spans="1:26" x14ac:dyDescent="0.25">
      <c r="A88" t="s">
        <v>18</v>
      </c>
      <c r="B88" t="s">
        <v>321</v>
      </c>
      <c r="C88" s="1" t="s">
        <v>99</v>
      </c>
      <c r="D88" s="1" t="str">
        <f>VLOOKUP(Zuweisungen!C88,'DIN V 18599-10'!$A$2:$B$47,2,FALSE)</f>
        <v>6</v>
      </c>
      <c r="E88" t="s">
        <v>83</v>
      </c>
      <c r="F88" t="str">
        <f>VLOOKUP(Zuweisungen!E88,'SIA 2024'!$A$2:$C$46,3,FALSE)</f>
        <v>5.2</v>
      </c>
      <c r="G88" t="str">
        <f>VLOOKUP($B88,MZA!$D$2:$D$112,1,FALSE)</f>
        <v>von Dienstleistern (z.B. Frisör, Kosmetik) genutztes Ladengebäude</v>
      </c>
      <c r="H88">
        <f>VLOOKUP($B88,MZA!$D$2:$E$112,2,FALSE)</f>
        <v>95</v>
      </c>
      <c r="I88" s="9">
        <f>VLOOKUP(Zuweisungen!D88,'DIN V 18599-10'!$B$2:$F$47,2,FALSE)</f>
        <v>70</v>
      </c>
      <c r="J88" s="9">
        <f>VLOOKUP(Zuweisungen!F88,'SIA 2024'!$C$2:$G$46,2,FALSE)</f>
        <v>70</v>
      </c>
      <c r="K88" s="23" t="str">
        <f>VLOOKUP($H88,MZA!$E$2:$BJ$112,57,FALSE)</f>
        <v>72.35168245</v>
      </c>
      <c r="L88" s="19" t="str">
        <f>VLOOKUP(Zuweisungen!D88,'DIN V 18599-10'!$B$2:$F$47,3,FALSE)</f>
        <v>1</v>
      </c>
      <c r="M88" s="19" t="str">
        <f>VLOOKUP(Zuweisungen!D88,'DIN V 18599-10'!$B$2:$F$47,4,FALSE)</f>
        <v>2</v>
      </c>
      <c r="N88" s="19" t="str">
        <f>VLOOKUP(Zuweisungen!D88,'DIN V 18599-10'!$B$2:$F$47,5,FALSE)</f>
        <v>3</v>
      </c>
      <c r="O88" s="10">
        <f>VLOOKUP(Zuweisungen!F88,'SIA 2024'!$C$2:$G$46,4,FALSE)</f>
        <v>1</v>
      </c>
      <c r="P88" s="11">
        <f>VLOOKUP(Zuweisungen!F88,'SIA 2024'!$C$2:$G$46,3,FALSE)</f>
        <v>2</v>
      </c>
      <c r="Q88" s="12">
        <f>VLOOKUP(Zuweisungen!F88,'SIA 2024'!$C$2:$G$46,5,FALSE)</f>
        <v>3</v>
      </c>
      <c r="R88" s="24" t="str">
        <f>VLOOKUP($H88,MZA!$E$2:$BJ$112,58,FALSE)</f>
        <v>15.99545737</v>
      </c>
      <c r="S88" s="24" t="str">
        <f>VLOOKUP($H88,MZA!$E$2:$BJ$112,58,FALSE)</f>
        <v>15.99545737</v>
      </c>
      <c r="T88" s="24" t="str">
        <f>VLOOKUP($H88,MZA!$E$2:$BJ$112,58,FALSE)</f>
        <v>15.99545737</v>
      </c>
      <c r="U88">
        <f>VLOOKUP(Zuweisungen!D88,'DIN V 18599-10'!$B$2:$H$47,6,FALSE)</f>
        <v>8</v>
      </c>
      <c r="V88">
        <f>VLOOKUP(Zuweisungen!D88,'DIN V 18599-10'!$B$2:$H$47,7,FALSE)</f>
        <v>20</v>
      </c>
      <c r="W88">
        <f>VLOOKUP(Zuweisungen!F88,'SIA 2024'!$C$2:$I$46,6,FALSE)</f>
        <v>7</v>
      </c>
      <c r="X88">
        <f>VLOOKUP(Zuweisungen!F88,'SIA 2024'!$C$2:$I$46,7,FALSE)</f>
        <v>20</v>
      </c>
      <c r="Y88" s="3" t="str">
        <f>VLOOKUP($H88,MZA!$E$2:$BJ$112,31,FALSE)</f>
        <v>7.651064978</v>
      </c>
      <c r="Z88" s="3" t="str">
        <f>VLOOKUP($H88,MZA!$E$2:$BJ$112,32,FALSE)</f>
        <v>19.12336549</v>
      </c>
    </row>
    <row r="89" spans="1:26" x14ac:dyDescent="0.25">
      <c r="A89" t="s">
        <v>26</v>
      </c>
      <c r="B89" t="s">
        <v>322</v>
      </c>
      <c r="C89" s="1" t="s">
        <v>94</v>
      </c>
      <c r="D89" s="1" t="str">
        <f>VLOOKUP(Zuweisungen!C89,'DIN V 18599-10'!$A$2:$B$47,2,FALSE)</f>
        <v>3</v>
      </c>
      <c r="E89" s="3" t="s">
        <v>49</v>
      </c>
      <c r="F89" t="str">
        <f>VLOOKUP(Zuweisungen!E89,'SIA 2024'!$A$2:$C$46,3,FALSE)</f>
        <v>3.2</v>
      </c>
      <c r="G89" t="str">
        <f>VLOOKUP($B89,MZA!$D$2:$D$112,1,FALSE)</f>
        <v>Kraftwerk (Gesamtanlage für Energieversorgung)</v>
      </c>
      <c r="H89">
        <f>VLOOKUP($B89,MZA!$D$2:$E$112,2,FALSE)</f>
        <v>97</v>
      </c>
      <c r="I89" s="9">
        <f>VLOOKUP(Zuweisungen!D89,'DIN V 18599-10'!$B$2:$F$47,2,FALSE)</f>
        <v>70</v>
      </c>
      <c r="J89" s="9">
        <f>VLOOKUP(Zuweisungen!F89,'SIA 2024'!$C$2:$G$46,2,FALSE)</f>
        <v>70</v>
      </c>
      <c r="K89" s="23" t="str">
        <f>VLOOKUP($H89,MZA!$E$2:$BJ$112,57,FALSE)</f>
        <v>70.17076077</v>
      </c>
      <c r="L89" s="19" t="str">
        <f>VLOOKUP(Zuweisungen!D89,'DIN V 18599-10'!$B$2:$F$47,3,FALSE)</f>
        <v>4.2</v>
      </c>
      <c r="M89" s="19" t="str">
        <f>VLOOKUP(Zuweisungen!D89,'DIN V 18599-10'!$B$2:$F$47,4,FALSE)</f>
        <v>10</v>
      </c>
      <c r="N89" s="19" t="str">
        <f>VLOOKUP(Zuweisungen!D89,'DIN V 18599-10'!$B$2:$F$47,5,FALSE)</f>
        <v>18.8</v>
      </c>
      <c r="O89" s="10">
        <f>VLOOKUP(Zuweisungen!F89,'SIA 2024'!$C$2:$G$46,4,FALSE)</f>
        <v>4</v>
      </c>
      <c r="P89" s="11">
        <f>VLOOKUP(Zuweisungen!F89,'SIA 2024'!$C$2:$G$46,3,FALSE)</f>
        <v>10</v>
      </c>
      <c r="Q89" s="12">
        <f>VLOOKUP(Zuweisungen!F89,'SIA 2024'!$C$2:$G$46,5,FALSE)</f>
        <v>19</v>
      </c>
      <c r="R89" s="24" t="str">
        <f>VLOOKUP($H89,MZA!$E$2:$BJ$112,58,FALSE)</f>
        <v>44.06362618</v>
      </c>
      <c r="S89" s="24" t="str">
        <f>VLOOKUP($H89,MZA!$E$2:$BJ$112,58,FALSE)</f>
        <v>44.06362618</v>
      </c>
      <c r="T89" s="24" t="str">
        <f>VLOOKUP($H89,MZA!$E$2:$BJ$112,58,FALSE)</f>
        <v>44.06362618</v>
      </c>
      <c r="U89">
        <f>VLOOKUP(Zuweisungen!D89,'DIN V 18599-10'!$B$2:$H$47,6,FALSE)</f>
        <v>7</v>
      </c>
      <c r="V89">
        <f>VLOOKUP(Zuweisungen!D89,'DIN V 18599-10'!$B$2:$H$47,7,FALSE)</f>
        <v>18</v>
      </c>
      <c r="W89">
        <f>VLOOKUP(Zuweisungen!F89,'SIA 2024'!$C$2:$I$46,6,FALSE)</f>
        <v>7</v>
      </c>
      <c r="X89">
        <f>VLOOKUP(Zuweisungen!F89,'SIA 2024'!$C$2:$I$46,7,FALSE)</f>
        <v>18</v>
      </c>
      <c r="Y89" s="3" t="str">
        <f>VLOOKUP($H89,MZA!$E$2:$BJ$112,31,FALSE)</f>
        <v>3.938076693</v>
      </c>
      <c r="Z89" s="3" t="str">
        <f>VLOOKUP($H89,MZA!$E$2:$BJ$112,32,FALSE)</f>
        <v>21.06669215</v>
      </c>
    </row>
    <row r="90" spans="1:26" x14ac:dyDescent="0.25">
      <c r="A90" t="s">
        <v>26</v>
      </c>
      <c r="B90" t="s">
        <v>323</v>
      </c>
      <c r="C90" s="1" t="s">
        <v>94</v>
      </c>
      <c r="D90" s="1" t="str">
        <f>VLOOKUP(Zuweisungen!C90,'DIN V 18599-10'!$A$2:$B$47,2,FALSE)</f>
        <v>3</v>
      </c>
      <c r="E90" s="3" t="s">
        <v>49</v>
      </c>
      <c r="F90" t="str">
        <f>VLOOKUP(Zuweisungen!E90,'SIA 2024'!$A$2:$C$46,3,FALSE)</f>
        <v>3.2</v>
      </c>
      <c r="G90" t="str">
        <f>VLOOKUP($B90,MZA!$D$2:$D$112,1,FALSE)</f>
        <v>Gebäude für Lenkung, Steuerung, Überwachung und Nachrichtenübermittlung (z.B. Stellwerk, Leuchtturm)</v>
      </c>
      <c r="H90">
        <f>VLOOKUP($B90,MZA!$D$2:$E$112,2,FALSE)</f>
        <v>98</v>
      </c>
      <c r="I90" s="9">
        <f>VLOOKUP(Zuweisungen!D90,'DIN V 18599-10'!$B$2:$F$47,2,FALSE)</f>
        <v>70</v>
      </c>
      <c r="J90" s="9">
        <f>VLOOKUP(Zuweisungen!F90,'SIA 2024'!$C$2:$G$46,2,FALSE)</f>
        <v>70</v>
      </c>
      <c r="K90" s="23">
        <f>VLOOKUP($H90,MZA!$E$2:$BJ$112,57,FALSE)</f>
        <v>70</v>
      </c>
      <c r="L90" s="19" t="str">
        <f>VLOOKUP(Zuweisungen!D90,'DIN V 18599-10'!$B$2:$F$47,3,FALSE)</f>
        <v>4.2</v>
      </c>
      <c r="M90" s="19" t="str">
        <f>VLOOKUP(Zuweisungen!D90,'DIN V 18599-10'!$B$2:$F$47,4,FALSE)</f>
        <v>10</v>
      </c>
      <c r="N90" s="19" t="str">
        <f>VLOOKUP(Zuweisungen!D90,'DIN V 18599-10'!$B$2:$F$47,5,FALSE)</f>
        <v>18.8</v>
      </c>
      <c r="O90" s="10">
        <f>VLOOKUP(Zuweisungen!F90,'SIA 2024'!$C$2:$G$46,4,FALSE)</f>
        <v>4</v>
      </c>
      <c r="P90" s="11">
        <f>VLOOKUP(Zuweisungen!F90,'SIA 2024'!$C$2:$G$46,3,FALSE)</f>
        <v>10</v>
      </c>
      <c r="Q90" s="12">
        <f>VLOOKUP(Zuweisungen!F90,'SIA 2024'!$C$2:$G$46,5,FALSE)</f>
        <v>19</v>
      </c>
      <c r="R90" s="24" t="str">
        <f>VLOOKUP($H90,MZA!$E$2:$BJ$112,58,FALSE)</f>
        <v>75.58551125</v>
      </c>
      <c r="S90" s="24" t="str">
        <f>VLOOKUP($H90,MZA!$E$2:$BJ$112,58,FALSE)</f>
        <v>75.58551125</v>
      </c>
      <c r="T90" s="24" t="str">
        <f>VLOOKUP($H90,MZA!$E$2:$BJ$112,58,FALSE)</f>
        <v>75.58551125</v>
      </c>
      <c r="U90">
        <f>VLOOKUP(Zuweisungen!D90,'DIN V 18599-10'!$B$2:$H$47,6,FALSE)</f>
        <v>7</v>
      </c>
      <c r="V90">
        <f>VLOOKUP(Zuweisungen!D90,'DIN V 18599-10'!$B$2:$H$47,7,FALSE)</f>
        <v>18</v>
      </c>
      <c r="W90">
        <f>VLOOKUP(Zuweisungen!F90,'SIA 2024'!$C$2:$I$46,6,FALSE)</f>
        <v>7</v>
      </c>
      <c r="X90">
        <f>VLOOKUP(Zuweisungen!F90,'SIA 2024'!$C$2:$I$46,7,FALSE)</f>
        <v>18</v>
      </c>
      <c r="Y90" s="3" t="str">
        <f>VLOOKUP($H90,MZA!$E$2:$BJ$112,31,FALSE)</f>
        <v>2.190662197</v>
      </c>
      <c r="Z90" s="3" t="str">
        <f>VLOOKUP($H90,MZA!$E$2:$BJ$112,32,FALSE)</f>
        <v>22.12228955</v>
      </c>
    </row>
    <row r="91" spans="1:26" x14ac:dyDescent="0.25">
      <c r="A91" t="s">
        <v>26</v>
      </c>
      <c r="B91" t="s">
        <v>324</v>
      </c>
      <c r="C91" s="1" t="s">
        <v>94</v>
      </c>
      <c r="D91" s="1" t="str">
        <f>VLOOKUP(Zuweisungen!C91,'DIN V 18599-10'!$A$2:$B$47,2,FALSE)</f>
        <v>3</v>
      </c>
      <c r="E91" s="3" t="s">
        <v>49</v>
      </c>
      <c r="F91" t="str">
        <f>VLOOKUP(Zuweisungen!E91,'SIA 2024'!$A$2:$C$46,3,FALSE)</f>
        <v>3.2</v>
      </c>
      <c r="G91" t="str">
        <f>VLOOKUP($B91,MZA!$D$2:$D$112,1,FALSE)</f>
        <v>Gebäude für Energieversorgung (z.B. Fernheizwerk, Tankstelle)</v>
      </c>
      <c r="H91">
        <f>VLOOKUP($B91,MZA!$D$2:$E$112,2,FALSE)</f>
        <v>99</v>
      </c>
      <c r="I91" s="9">
        <f>VLOOKUP(Zuweisungen!D91,'DIN V 18599-10'!$B$2:$F$47,2,FALSE)</f>
        <v>70</v>
      </c>
      <c r="J91" s="9">
        <f>VLOOKUP(Zuweisungen!F91,'SIA 2024'!$C$2:$G$46,2,FALSE)</f>
        <v>70</v>
      </c>
      <c r="K91" s="23" t="str">
        <f>VLOOKUP($H91,MZA!$E$2:$BJ$112,57,FALSE)</f>
        <v>70.17076077</v>
      </c>
      <c r="L91" s="19" t="str">
        <f>VLOOKUP(Zuweisungen!D91,'DIN V 18599-10'!$B$2:$F$47,3,FALSE)</f>
        <v>4.2</v>
      </c>
      <c r="M91" s="19" t="str">
        <f>VLOOKUP(Zuweisungen!D91,'DIN V 18599-10'!$B$2:$F$47,4,FALSE)</f>
        <v>10</v>
      </c>
      <c r="N91" s="19" t="str">
        <f>VLOOKUP(Zuweisungen!D91,'DIN V 18599-10'!$B$2:$F$47,5,FALSE)</f>
        <v>18.8</v>
      </c>
      <c r="O91" s="10">
        <f>VLOOKUP(Zuweisungen!F91,'SIA 2024'!$C$2:$G$46,4,FALSE)</f>
        <v>4</v>
      </c>
      <c r="P91" s="11">
        <f>VLOOKUP(Zuweisungen!F91,'SIA 2024'!$C$2:$G$46,3,FALSE)</f>
        <v>10</v>
      </c>
      <c r="Q91" s="12">
        <f>VLOOKUP(Zuweisungen!F91,'SIA 2024'!$C$2:$G$46,5,FALSE)</f>
        <v>19</v>
      </c>
      <c r="R91" s="24" t="str">
        <f>VLOOKUP($H91,MZA!$E$2:$BJ$112,58,FALSE)</f>
        <v>44.06362618</v>
      </c>
      <c r="S91" s="24" t="str">
        <f>VLOOKUP($H91,MZA!$E$2:$BJ$112,58,FALSE)</f>
        <v>44.06362618</v>
      </c>
      <c r="T91" s="24" t="str">
        <f>VLOOKUP($H91,MZA!$E$2:$BJ$112,58,FALSE)</f>
        <v>44.06362618</v>
      </c>
      <c r="U91">
        <f>VLOOKUP(Zuweisungen!D91,'DIN V 18599-10'!$B$2:$H$47,6,FALSE)</f>
        <v>7</v>
      </c>
      <c r="V91">
        <f>VLOOKUP(Zuweisungen!D91,'DIN V 18599-10'!$B$2:$H$47,7,FALSE)</f>
        <v>18</v>
      </c>
      <c r="W91">
        <f>VLOOKUP(Zuweisungen!F91,'SIA 2024'!$C$2:$I$46,6,FALSE)</f>
        <v>7</v>
      </c>
      <c r="X91">
        <f>VLOOKUP(Zuweisungen!F91,'SIA 2024'!$C$2:$I$46,7,FALSE)</f>
        <v>18</v>
      </c>
      <c r="Y91" s="3" t="str">
        <f>VLOOKUP($H91,MZA!$E$2:$BJ$112,31,FALSE)</f>
        <v>3.938076693</v>
      </c>
      <c r="Z91" s="3" t="str">
        <f>VLOOKUP($H91,MZA!$E$2:$BJ$112,32,FALSE)</f>
        <v>21.06669215</v>
      </c>
    </row>
    <row r="92" spans="1:26" x14ac:dyDescent="0.25">
      <c r="A92" t="s">
        <v>26</v>
      </c>
      <c r="B92" s="1" t="s">
        <v>27</v>
      </c>
      <c r="C92" s="1" t="s">
        <v>94</v>
      </c>
      <c r="D92" s="1" t="str">
        <f>VLOOKUP(Zuweisungen!C92,'DIN V 18599-10'!$A$2:$B$47,2,FALSE)</f>
        <v>3</v>
      </c>
      <c r="E92" s="3" t="s">
        <v>49</v>
      </c>
      <c r="F92" t="str">
        <f>VLOOKUP(Zuweisungen!E92,'SIA 2024'!$A$2:$C$46,3,FALSE)</f>
        <v>3.2</v>
      </c>
      <c r="G92" t="str">
        <f>VLOOKUP($B92,MZA!$D$2:$D$112,1,FALSE)</f>
        <v>Gebäude für Wasserversorgung</v>
      </c>
      <c r="H92">
        <f>VLOOKUP($B92,MZA!$D$2:$E$112,2,FALSE)</f>
        <v>100</v>
      </c>
      <c r="I92" s="9">
        <f>VLOOKUP(Zuweisungen!D92,'DIN V 18599-10'!$B$2:$F$47,2,FALSE)</f>
        <v>70</v>
      </c>
      <c r="J92" s="9">
        <f>VLOOKUP(Zuweisungen!F92,'SIA 2024'!$C$2:$G$46,2,FALSE)</f>
        <v>70</v>
      </c>
      <c r="K92" s="23" t="str">
        <f>VLOOKUP($H92,MZA!$E$2:$BJ$112,57,FALSE)</f>
        <v>70.17076077</v>
      </c>
      <c r="L92" s="19" t="str">
        <f>VLOOKUP(Zuweisungen!D92,'DIN V 18599-10'!$B$2:$F$47,3,FALSE)</f>
        <v>4.2</v>
      </c>
      <c r="M92" s="19" t="str">
        <f>VLOOKUP(Zuweisungen!D92,'DIN V 18599-10'!$B$2:$F$47,4,FALSE)</f>
        <v>10</v>
      </c>
      <c r="N92" s="19" t="str">
        <f>VLOOKUP(Zuweisungen!D92,'DIN V 18599-10'!$B$2:$F$47,5,FALSE)</f>
        <v>18.8</v>
      </c>
      <c r="O92" s="10">
        <f>VLOOKUP(Zuweisungen!F92,'SIA 2024'!$C$2:$G$46,4,FALSE)</f>
        <v>4</v>
      </c>
      <c r="P92" s="11">
        <f>VLOOKUP(Zuweisungen!F92,'SIA 2024'!$C$2:$G$46,3,FALSE)</f>
        <v>10</v>
      </c>
      <c r="Q92" s="12">
        <f>VLOOKUP(Zuweisungen!F92,'SIA 2024'!$C$2:$G$46,5,FALSE)</f>
        <v>19</v>
      </c>
      <c r="R92" s="24" t="str">
        <f>VLOOKUP($H92,MZA!$E$2:$BJ$112,58,FALSE)</f>
        <v>44.06362618</v>
      </c>
      <c r="S92" s="24" t="str">
        <f>VLOOKUP($H92,MZA!$E$2:$BJ$112,58,FALSE)</f>
        <v>44.06362618</v>
      </c>
      <c r="T92" s="24" t="str">
        <f>VLOOKUP($H92,MZA!$E$2:$BJ$112,58,FALSE)</f>
        <v>44.06362618</v>
      </c>
      <c r="U92">
        <f>VLOOKUP(Zuweisungen!D92,'DIN V 18599-10'!$B$2:$H$47,6,FALSE)</f>
        <v>7</v>
      </c>
      <c r="V92">
        <f>VLOOKUP(Zuweisungen!D92,'DIN V 18599-10'!$B$2:$H$47,7,FALSE)</f>
        <v>18</v>
      </c>
      <c r="W92">
        <f>VLOOKUP(Zuweisungen!F92,'SIA 2024'!$C$2:$I$46,6,FALSE)</f>
        <v>7</v>
      </c>
      <c r="X92">
        <f>VLOOKUP(Zuweisungen!F92,'SIA 2024'!$C$2:$I$46,7,FALSE)</f>
        <v>18</v>
      </c>
      <c r="Y92" s="3" t="str">
        <f>VLOOKUP($H92,MZA!$E$2:$BJ$112,31,FALSE)</f>
        <v>3.938076693</v>
      </c>
      <c r="Z92" s="3" t="str">
        <f>VLOOKUP($H92,MZA!$E$2:$BJ$112,32,FALSE)</f>
        <v>21.06669215</v>
      </c>
    </row>
    <row r="93" spans="1:26" x14ac:dyDescent="0.25">
      <c r="A93" t="s">
        <v>26</v>
      </c>
      <c r="B93" s="1" t="s">
        <v>28</v>
      </c>
      <c r="C93" s="1" t="s">
        <v>94</v>
      </c>
      <c r="D93" s="1" t="str">
        <f>VLOOKUP(Zuweisungen!C93,'DIN V 18599-10'!$A$2:$B$47,2,FALSE)</f>
        <v>3</v>
      </c>
      <c r="E93" s="3" t="s">
        <v>49</v>
      </c>
      <c r="F93" t="str">
        <f>VLOOKUP(Zuweisungen!E93,'SIA 2024'!$A$2:$C$46,3,FALSE)</f>
        <v>3.2</v>
      </c>
      <c r="G93" t="str">
        <f>VLOOKUP($B93,MZA!$D$2:$D$112,1,FALSE)</f>
        <v>Gebäude für Abwasserbehandlung</v>
      </c>
      <c r="H93">
        <f>VLOOKUP($B93,MZA!$D$2:$E$112,2,FALSE)</f>
        <v>101</v>
      </c>
      <c r="I93" s="9">
        <f>VLOOKUP(Zuweisungen!D93,'DIN V 18599-10'!$B$2:$F$47,2,FALSE)</f>
        <v>70</v>
      </c>
      <c r="J93" s="9">
        <f>VLOOKUP(Zuweisungen!F93,'SIA 2024'!$C$2:$G$46,2,FALSE)</f>
        <v>70</v>
      </c>
      <c r="K93" s="23" t="str">
        <f>VLOOKUP($H93,MZA!$E$2:$BJ$112,57,FALSE)</f>
        <v>70.17076077</v>
      </c>
      <c r="L93" s="19" t="str">
        <f>VLOOKUP(Zuweisungen!D93,'DIN V 18599-10'!$B$2:$F$47,3,FALSE)</f>
        <v>4.2</v>
      </c>
      <c r="M93" s="19" t="str">
        <f>VLOOKUP(Zuweisungen!D93,'DIN V 18599-10'!$B$2:$F$47,4,FALSE)</f>
        <v>10</v>
      </c>
      <c r="N93" s="19" t="str">
        <f>VLOOKUP(Zuweisungen!D93,'DIN V 18599-10'!$B$2:$F$47,5,FALSE)</f>
        <v>18.8</v>
      </c>
      <c r="O93" s="10">
        <f>VLOOKUP(Zuweisungen!F93,'SIA 2024'!$C$2:$G$46,4,FALSE)</f>
        <v>4</v>
      </c>
      <c r="P93" s="11">
        <f>VLOOKUP(Zuweisungen!F93,'SIA 2024'!$C$2:$G$46,3,FALSE)</f>
        <v>10</v>
      </c>
      <c r="Q93" s="12">
        <f>VLOOKUP(Zuweisungen!F93,'SIA 2024'!$C$2:$G$46,5,FALSE)</f>
        <v>19</v>
      </c>
      <c r="R93" s="24" t="str">
        <f>VLOOKUP($H93,MZA!$E$2:$BJ$112,58,FALSE)</f>
        <v>44.06362618</v>
      </c>
      <c r="S93" s="24" t="str">
        <f>VLOOKUP($H93,MZA!$E$2:$BJ$112,58,FALSE)</f>
        <v>44.06362618</v>
      </c>
      <c r="T93" s="24" t="str">
        <f>VLOOKUP($H93,MZA!$E$2:$BJ$112,58,FALSE)</f>
        <v>44.06362618</v>
      </c>
      <c r="U93">
        <f>VLOOKUP(Zuweisungen!D93,'DIN V 18599-10'!$B$2:$H$47,6,FALSE)</f>
        <v>7</v>
      </c>
      <c r="V93">
        <f>VLOOKUP(Zuweisungen!D93,'DIN V 18599-10'!$B$2:$H$47,7,FALSE)</f>
        <v>18</v>
      </c>
      <c r="W93">
        <f>VLOOKUP(Zuweisungen!F93,'SIA 2024'!$C$2:$I$46,6,FALSE)</f>
        <v>7</v>
      </c>
      <c r="X93">
        <f>VLOOKUP(Zuweisungen!F93,'SIA 2024'!$C$2:$I$46,7,FALSE)</f>
        <v>18</v>
      </c>
      <c r="Y93" s="3" t="str">
        <f>VLOOKUP($H93,MZA!$E$2:$BJ$112,31,FALSE)</f>
        <v>3.938076693</v>
      </c>
      <c r="Z93" s="3" t="str">
        <f>VLOOKUP($H93,MZA!$E$2:$BJ$112,32,FALSE)</f>
        <v>21.06669215</v>
      </c>
    </row>
    <row r="94" spans="1:26" x14ac:dyDescent="0.25">
      <c r="A94" t="s">
        <v>26</v>
      </c>
      <c r="B94" s="1" t="s">
        <v>29</v>
      </c>
      <c r="C94" s="1" t="s">
        <v>94</v>
      </c>
      <c r="D94" s="1" t="str">
        <f>VLOOKUP(Zuweisungen!C94,'DIN V 18599-10'!$A$2:$B$47,2,FALSE)</f>
        <v>3</v>
      </c>
      <c r="E94" s="3" t="s">
        <v>49</v>
      </c>
      <c r="F94" t="str">
        <f>VLOOKUP(Zuweisungen!E94,'SIA 2024'!$A$2:$C$46,3,FALSE)</f>
        <v>3.2</v>
      </c>
      <c r="G94" t="str">
        <f>VLOOKUP($B94,MZA!$D$2:$D$112,1,FALSE)</f>
        <v>Gebäude für Abfallbehandlung</v>
      </c>
      <c r="H94">
        <f>VLOOKUP($B94,MZA!$D$2:$E$112,2,FALSE)</f>
        <v>102</v>
      </c>
      <c r="I94" s="9">
        <f>VLOOKUP(Zuweisungen!D94,'DIN V 18599-10'!$B$2:$F$47,2,FALSE)</f>
        <v>70</v>
      </c>
      <c r="J94" s="9">
        <f>VLOOKUP(Zuweisungen!F94,'SIA 2024'!$C$2:$G$46,2,FALSE)</f>
        <v>70</v>
      </c>
      <c r="K94" s="23" t="str">
        <f>VLOOKUP($H94,MZA!$E$2:$BJ$112,57,FALSE)</f>
        <v>70.17076077</v>
      </c>
      <c r="L94" s="19" t="str">
        <f>VLOOKUP(Zuweisungen!D94,'DIN V 18599-10'!$B$2:$F$47,3,FALSE)</f>
        <v>4.2</v>
      </c>
      <c r="M94" s="19" t="str">
        <f>VLOOKUP(Zuweisungen!D94,'DIN V 18599-10'!$B$2:$F$47,4,FALSE)</f>
        <v>10</v>
      </c>
      <c r="N94" s="19" t="str">
        <f>VLOOKUP(Zuweisungen!D94,'DIN V 18599-10'!$B$2:$F$47,5,FALSE)</f>
        <v>18.8</v>
      </c>
      <c r="O94" s="10">
        <f>VLOOKUP(Zuweisungen!F94,'SIA 2024'!$C$2:$G$46,4,FALSE)</f>
        <v>4</v>
      </c>
      <c r="P94" s="11">
        <f>VLOOKUP(Zuweisungen!F94,'SIA 2024'!$C$2:$G$46,3,FALSE)</f>
        <v>10</v>
      </c>
      <c r="Q94" s="12">
        <f>VLOOKUP(Zuweisungen!F94,'SIA 2024'!$C$2:$G$46,5,FALSE)</f>
        <v>19</v>
      </c>
      <c r="R94" s="24" t="str">
        <f>VLOOKUP($H94,MZA!$E$2:$BJ$112,58,FALSE)</f>
        <v>44.06362618</v>
      </c>
      <c r="S94" s="24" t="str">
        <f>VLOOKUP($H94,MZA!$E$2:$BJ$112,58,FALSE)</f>
        <v>44.06362618</v>
      </c>
      <c r="T94" s="24" t="str">
        <f>VLOOKUP($H94,MZA!$E$2:$BJ$112,58,FALSE)</f>
        <v>44.06362618</v>
      </c>
      <c r="U94">
        <f>VLOOKUP(Zuweisungen!D94,'DIN V 18599-10'!$B$2:$H$47,6,FALSE)</f>
        <v>7</v>
      </c>
      <c r="V94">
        <f>VLOOKUP(Zuweisungen!D94,'DIN V 18599-10'!$B$2:$H$47,7,FALSE)</f>
        <v>18</v>
      </c>
      <c r="W94">
        <f>VLOOKUP(Zuweisungen!F94,'SIA 2024'!$C$2:$I$46,6,FALSE)</f>
        <v>7</v>
      </c>
      <c r="X94">
        <f>VLOOKUP(Zuweisungen!F94,'SIA 2024'!$C$2:$I$46,7,FALSE)</f>
        <v>18</v>
      </c>
      <c r="Y94" s="3" t="str">
        <f>VLOOKUP($H94,MZA!$E$2:$BJ$112,31,FALSE)</f>
        <v>3.938076693</v>
      </c>
      <c r="Z94" s="3" t="str">
        <f>VLOOKUP($H94,MZA!$E$2:$BJ$112,32,FALSE)</f>
        <v>21.06669215</v>
      </c>
    </row>
    <row r="95" spans="1:26" x14ac:dyDescent="0.25">
      <c r="A95" t="s">
        <v>24</v>
      </c>
      <c r="B95" t="s">
        <v>325</v>
      </c>
      <c r="C95" t="s">
        <v>152</v>
      </c>
      <c r="D95" s="1" t="str">
        <f>VLOOKUP(Zuweisungen!C95,'DIN V 18599-10'!$A$2:$B$47,2,FALSE)</f>
        <v>33</v>
      </c>
      <c r="E95" t="s">
        <v>85</v>
      </c>
      <c r="F95" t="str">
        <f>VLOOKUP(Zuweisungen!E95,'SIA 2024'!$A$2:$C$46,3,FALSE)</f>
        <v>12.9</v>
      </c>
      <c r="G95" t="str">
        <f>VLOOKUP($B95,MZA!$D$2:$D$112,1,FALSE)</f>
        <v>Park-/Garagengebäude, Fahrradparkhaus</v>
      </c>
      <c r="H95">
        <f>VLOOKUP($B95,MZA!$D$2:$E$112,2,FALSE)</f>
        <v>104</v>
      </c>
      <c r="I95" s="9" t="str">
        <f>VLOOKUP(Zuweisungen!D95,'DIN V 18599-10'!$B$2:$F$47,2,FALSE)</f>
        <v>70</v>
      </c>
      <c r="J95" s="9">
        <f>VLOOKUP(Zuweisungen!F95,'SIA 2024'!$C$2:$G$46,2,FALSE)</f>
        <v>70</v>
      </c>
      <c r="K95" s="23" t="str">
        <f>VLOOKUP($H95,MZA!$E$2:$BJ$112,57,FALSE)</f>
        <v>72.1516772</v>
      </c>
      <c r="L95" s="19" t="str">
        <f>VLOOKUP(Zuweisungen!D95,'DIN V 18599-10'!$B$2:$F$47,3,FALSE)</f>
        <v>0</v>
      </c>
      <c r="M95" s="19" t="str">
        <f>VLOOKUP(Zuweisungen!D95,'DIN V 18599-10'!$B$2:$F$47,4,FALSE)</f>
        <v>0</v>
      </c>
      <c r="N95" s="19" t="str">
        <f>VLOOKUP(Zuweisungen!D95,'DIN V 18599-10'!$B$2:$F$47,5,FALSE)</f>
        <v>0</v>
      </c>
      <c r="O95" s="10" t="str">
        <f>VLOOKUP(Zuweisungen!F95,'SIA 2024'!$C$2:$G$46,4,FALSE)</f>
        <v>0.5</v>
      </c>
      <c r="P95" s="11">
        <f>VLOOKUP(Zuweisungen!F95,'SIA 2024'!$C$2:$G$46,3,FALSE)</f>
        <v>1</v>
      </c>
      <c r="Q95" s="12">
        <f>VLOOKUP(Zuweisungen!F95,'SIA 2024'!$C$2:$G$46,5,FALSE)</f>
        <v>2</v>
      </c>
      <c r="R95" s="24" t="str">
        <f>VLOOKUP($H95,MZA!$E$2:$BJ$112,58,FALSE)</f>
        <v>2.764673473</v>
      </c>
      <c r="S95" s="24" t="str">
        <f>VLOOKUP($H95,MZA!$E$2:$BJ$112,58,FALSE)</f>
        <v>2.764673473</v>
      </c>
      <c r="T95" s="24" t="str">
        <f>VLOOKUP($H95,MZA!$E$2:$BJ$112,58,FALSE)</f>
        <v>2.764673473</v>
      </c>
      <c r="U95">
        <f>VLOOKUP(Zuweisungen!D95,'DIN V 18599-10'!$B$2:$H$47,6,FALSE)</f>
        <v>9</v>
      </c>
      <c r="V95">
        <f>VLOOKUP(Zuweisungen!D95,'DIN V 18599-10'!$B$2:$H$47,7,FALSE)</f>
        <v>24</v>
      </c>
      <c r="W95">
        <f>VLOOKUP(Zuweisungen!F95,'SIA 2024'!$C$2:$I$46,6,FALSE)</f>
        <v>7</v>
      </c>
      <c r="X95">
        <f>VLOOKUP(Zuweisungen!F95,'SIA 2024'!$C$2:$I$46,7,FALSE)</f>
        <v>18</v>
      </c>
      <c r="Y95" s="3" t="str">
        <f>VLOOKUP($H95,MZA!$E$2:$BJ$112,31,FALSE)</f>
        <v>1.34990564</v>
      </c>
      <c r="Z95" s="3" t="str">
        <f>VLOOKUP($H95,MZA!$E$2:$BJ$112,32,FALSE)</f>
        <v>22.80385853</v>
      </c>
    </row>
    <row r="96" spans="1:26" x14ac:dyDescent="0.25">
      <c r="A96" t="s">
        <v>24</v>
      </c>
      <c r="B96" t="s">
        <v>326</v>
      </c>
      <c r="C96" s="1" t="s">
        <v>125</v>
      </c>
      <c r="D96" s="1" t="str">
        <f>VLOOKUP(Zuweisungen!C96,'DIN V 18599-10'!$A$2:$B$47,2,FALSE)</f>
        <v>19</v>
      </c>
      <c r="E96" s="3" t="s">
        <v>221</v>
      </c>
      <c r="F96" t="str">
        <f>VLOOKUP(Zuweisungen!E96,'SIA 2024'!$A$2:$C$46,3,FALSE)</f>
        <v>12.1</v>
      </c>
      <c r="G96" t="str">
        <f>VLOOKUP($B96,MZA!$D$2:$D$112,1,FALSE)</f>
        <v>Halle für sonstige Verkehrsmittel (z.B. für Flugzeuge, Schienenfahrzeuge)</v>
      </c>
      <c r="H96">
        <f>VLOOKUP($B96,MZA!$D$2:$E$112,2,FALSE)</f>
        <v>105</v>
      </c>
      <c r="I96" s="9" t="str">
        <f>VLOOKUP(Zuweisungen!D96,'DIN V 18599-10'!$B$2:$F$47,2,FALSE)</f>
        <v>70</v>
      </c>
      <c r="J96" s="9">
        <f>VLOOKUP(Zuweisungen!F96,'SIA 2024'!$C$2:$G$46,2,FALSE)</f>
        <v>70</v>
      </c>
      <c r="K96" s="23" t="str">
        <f>VLOOKUP($H96,MZA!$E$2:$BJ$112,57,FALSE)</f>
        <v>72.1516772</v>
      </c>
      <c r="L96" s="19" t="str">
        <f>VLOOKUP(Zuweisungen!D96,'DIN V 18599-10'!$B$2:$F$47,3,FALSE)</f>
        <v>0</v>
      </c>
      <c r="M96" s="19" t="str">
        <f>VLOOKUP(Zuweisungen!D96,'DIN V 18599-10'!$B$2:$F$47,4,FALSE)</f>
        <v>0</v>
      </c>
      <c r="N96" s="19" t="str">
        <f>VLOOKUP(Zuweisungen!D96,'DIN V 18599-10'!$B$2:$F$47,5,FALSE)</f>
        <v>0</v>
      </c>
      <c r="O96" s="10">
        <f>VLOOKUP(Zuweisungen!F96,'SIA 2024'!$C$2:$G$46,4,FALSE)</f>
        <v>0</v>
      </c>
      <c r="P96" s="11">
        <f>VLOOKUP(Zuweisungen!F96,'SIA 2024'!$C$2:$G$46,3,FALSE)</f>
        <v>0</v>
      </c>
      <c r="Q96" s="12">
        <f>VLOOKUP(Zuweisungen!F96,'SIA 2024'!$C$2:$G$46,5,FALSE)</f>
        <v>0</v>
      </c>
      <c r="R96" s="24" t="str">
        <f>VLOOKUP($H96,MZA!$E$2:$BJ$112,58,FALSE)</f>
        <v>2.764673473</v>
      </c>
      <c r="S96" s="24" t="str">
        <f>VLOOKUP($H96,MZA!$E$2:$BJ$112,58,FALSE)</f>
        <v>2.764673473</v>
      </c>
      <c r="T96" s="24" t="str">
        <f>VLOOKUP($H96,MZA!$E$2:$BJ$112,58,FALSE)</f>
        <v>2.764673473</v>
      </c>
      <c r="U96">
        <f>VLOOKUP(Zuweisungen!D96,'DIN V 18599-10'!$B$2:$H$47,6,FALSE)</f>
        <v>7</v>
      </c>
      <c r="V96">
        <f>VLOOKUP(Zuweisungen!D96,'DIN V 18599-10'!$B$2:$H$47,7,FALSE)</f>
        <v>18</v>
      </c>
      <c r="W96">
        <f>VLOOKUP(Zuweisungen!F96,'SIA 2024'!$C$2:$I$46,6,FALSE)</f>
        <v>6</v>
      </c>
      <c r="X96">
        <f>VLOOKUP(Zuweisungen!F96,'SIA 2024'!$C$2:$I$46,7,FALSE)</f>
        <v>19</v>
      </c>
      <c r="Y96" s="3" t="str">
        <f>VLOOKUP($H96,MZA!$E$2:$BJ$112,31,FALSE)</f>
        <v>1.34990564</v>
      </c>
      <c r="Z96" s="3" t="str">
        <f>VLOOKUP($H96,MZA!$E$2:$BJ$112,32,FALSE)</f>
        <v>22.80385853</v>
      </c>
    </row>
    <row r="97" spans="1:26" x14ac:dyDescent="0.25">
      <c r="A97" t="s">
        <v>24</v>
      </c>
      <c r="B97" t="s">
        <v>327</v>
      </c>
      <c r="C97" s="1" t="s">
        <v>329</v>
      </c>
      <c r="D97" s="1" t="str">
        <f>VLOOKUP(Zuweisungen!C97,'DIN V 18599-10'!$A$2:$B$47,2,FALSE)</f>
        <v>41</v>
      </c>
      <c r="E97" s="3" t="s">
        <v>73</v>
      </c>
      <c r="F97" t="str">
        <f>VLOOKUP(Zuweisungen!E97,'SIA 2024'!$A$2:$C$46,3,FALSE)</f>
        <v>10.1</v>
      </c>
      <c r="G97" t="str">
        <f>VLOOKUP($B97,MZA!$D$2:$D$112,1,FALSE)</f>
        <v>Gebäude zur Pflege von Fahrzeugen (z.B. Waschstraße)</v>
      </c>
      <c r="H97">
        <f>VLOOKUP($B97,MZA!$D$2:$E$112,2,FALSE)</f>
        <v>106</v>
      </c>
      <c r="I97" s="9" t="str">
        <f>VLOOKUP(Zuweisungen!D97,'DIN V 18599-10'!$B$2:$F$47,2,FALSE)</f>
        <v>70</v>
      </c>
      <c r="J97" s="9">
        <f>VLOOKUP(Zuweisungen!F97,'SIA 2024'!$C$2:$G$46,2,FALSE)</f>
        <v>90</v>
      </c>
      <c r="K97" s="23" t="str">
        <f>VLOOKUP($H97,MZA!$E$2:$BJ$112,57,FALSE)</f>
        <v>70.17076077</v>
      </c>
      <c r="L97" s="19" t="str">
        <f>VLOOKUP(Zuweisungen!D97,'DIN V 18599-10'!$B$2:$F$47,3,FALSE)</f>
        <v>0</v>
      </c>
      <c r="M97" s="19" t="str">
        <f>VLOOKUP(Zuweisungen!D97,'DIN V 18599-10'!$B$2:$F$47,4,FALSE)</f>
        <v>0</v>
      </c>
      <c r="N97" s="19" t="str">
        <f>VLOOKUP(Zuweisungen!D97,'DIN V 18599-10'!$B$2:$F$47,5,FALSE)</f>
        <v>0</v>
      </c>
      <c r="O97" s="10">
        <f>VLOOKUP(Zuweisungen!F97,'SIA 2024'!$C$2:$G$46,4,FALSE)</f>
        <v>0</v>
      </c>
      <c r="P97" s="11">
        <f>VLOOKUP(Zuweisungen!F97,'SIA 2024'!$C$2:$G$46,3,FALSE)</f>
        <v>0</v>
      </c>
      <c r="Q97" s="12">
        <f>VLOOKUP(Zuweisungen!F97,'SIA 2024'!$C$2:$G$46,5,FALSE)</f>
        <v>0</v>
      </c>
      <c r="R97" s="24" t="str">
        <f>VLOOKUP($H97,MZA!$E$2:$BJ$112,58,FALSE)</f>
        <v>44.06362618</v>
      </c>
      <c r="S97" s="24" t="str">
        <f>VLOOKUP($H97,MZA!$E$2:$BJ$112,58,FALSE)</f>
        <v>44.06362618</v>
      </c>
      <c r="T97" s="24" t="str">
        <f>VLOOKUP($H97,MZA!$E$2:$BJ$112,58,FALSE)</f>
        <v>44.06362618</v>
      </c>
      <c r="U97">
        <f>VLOOKUP(Zuweisungen!D97,'DIN V 18599-10'!$B$2:$H$47,6,FALSE)</f>
        <v>0</v>
      </c>
      <c r="V97">
        <f>VLOOKUP(Zuweisungen!D97,'DIN V 18599-10'!$B$2:$H$47,7,FALSE)</f>
        <v>24</v>
      </c>
      <c r="W97">
        <f>VLOOKUP(Zuweisungen!F97,'SIA 2024'!$C$2:$I$46,6,FALSE)</f>
        <v>0</v>
      </c>
      <c r="X97">
        <f>VLOOKUP(Zuweisungen!F97,'SIA 2024'!$C$2:$I$46,7,FALSE)</f>
        <v>24</v>
      </c>
      <c r="Y97" s="3" t="str">
        <f>VLOOKUP($H97,MZA!$E$2:$BJ$112,31,FALSE)</f>
        <v>3.938076693</v>
      </c>
      <c r="Z97" s="3" t="str">
        <f>VLOOKUP($H97,MZA!$E$2:$BJ$112,32,FALSE)</f>
        <v>21.06669215</v>
      </c>
    </row>
    <row r="98" spans="1:26" x14ac:dyDescent="0.25">
      <c r="A98" t="s">
        <v>24</v>
      </c>
      <c r="B98" t="s">
        <v>328</v>
      </c>
      <c r="C98" t="s">
        <v>19</v>
      </c>
      <c r="D98" s="1" t="str">
        <f>VLOOKUP(Zuweisungen!C98,'DIN V 18599-10'!$A$2:$B$47,2,FALSE)</f>
        <v>5</v>
      </c>
      <c r="E98" t="s">
        <v>87</v>
      </c>
      <c r="F98" t="str">
        <f>VLOOKUP(Zuweisungen!E98,'SIA 2024'!$A$2:$C$46,3,FALSE)</f>
        <v>3.4</v>
      </c>
      <c r="G98" t="str">
        <f>VLOOKUP($B98,MZA!$D$2:$D$112,1,FALSE)</f>
        <v>Empfangsgebäude (Bahnhof, Busbahnhof, Flughafen, Schiffsterminal)</v>
      </c>
      <c r="H98">
        <f>VLOOKUP($B98,MZA!$D$2:$E$112,2,FALSE)</f>
        <v>107</v>
      </c>
      <c r="I98" s="9">
        <f>VLOOKUP(Zuweisungen!D98,'DIN V 18599-10'!$B$2:$F$47,2,FALSE)</f>
        <v>70</v>
      </c>
      <c r="J98" s="9">
        <f>VLOOKUP(Zuweisungen!F98,'SIA 2024'!$C$2:$G$46,2,FALSE)</f>
        <v>70</v>
      </c>
      <c r="K98" s="23" t="str">
        <f>VLOOKUP($H98,MZA!$E$2:$BJ$112,57,FALSE)</f>
        <v>70.45294129</v>
      </c>
      <c r="L98" s="19" t="str">
        <f>VLOOKUP(Zuweisungen!D98,'DIN V 18599-10'!$B$2:$F$47,3,FALSE)</f>
        <v>1.5</v>
      </c>
      <c r="M98" s="19" t="str">
        <f>VLOOKUP(Zuweisungen!D98,'DIN V 18599-10'!$B$2:$F$47,4,FALSE)</f>
        <v>4</v>
      </c>
      <c r="N98" s="19" t="str">
        <f>VLOOKUP(Zuweisungen!D98,'DIN V 18599-10'!$B$2:$F$47,5,FALSE)</f>
        <v>9.5</v>
      </c>
      <c r="O98" s="10" t="str">
        <f>VLOOKUP(Zuweisungen!F98,'SIA 2024'!$C$2:$G$46,4,FALSE)</f>
        <v>1.5</v>
      </c>
      <c r="P98" s="11">
        <f>VLOOKUP(Zuweisungen!F98,'SIA 2024'!$C$2:$G$46,3,FALSE)</f>
        <v>4</v>
      </c>
      <c r="Q98" s="12" t="str">
        <f>VLOOKUP(Zuweisungen!F98,'SIA 2024'!$C$2:$G$46,5,FALSE)</f>
        <v>9.5</v>
      </c>
      <c r="R98" s="24" t="str">
        <f>VLOOKUP($H98,MZA!$E$2:$BJ$112,58,FALSE)</f>
        <v>2.573518033</v>
      </c>
      <c r="S98" s="24" t="str">
        <f>VLOOKUP($H98,MZA!$E$2:$BJ$112,58,FALSE)</f>
        <v>2.573518033</v>
      </c>
      <c r="T98" s="24" t="str">
        <f>VLOOKUP($H98,MZA!$E$2:$BJ$112,58,FALSE)</f>
        <v>2.573518033</v>
      </c>
      <c r="U98">
        <f>VLOOKUP(Zuweisungen!D98,'DIN V 18599-10'!$B$2:$H$47,6,FALSE)</f>
        <v>7</v>
      </c>
      <c r="V98">
        <f>VLOOKUP(Zuweisungen!D98,'DIN V 18599-10'!$B$2:$H$47,7,FALSE)</f>
        <v>18</v>
      </c>
      <c r="W98">
        <f>VLOOKUP(Zuweisungen!F98,'SIA 2024'!$C$2:$I$46,6,FALSE)</f>
        <v>7</v>
      </c>
      <c r="X98">
        <f>VLOOKUP(Zuweisungen!F98,'SIA 2024'!$C$2:$I$46,7,FALSE)</f>
        <v>18</v>
      </c>
      <c r="Y98" s="3" t="str">
        <f>VLOOKUP($H98,MZA!$E$2:$BJ$112,31,FALSE)</f>
        <v>7.527844973</v>
      </c>
      <c r="Z98" s="3" t="str">
        <f>VLOOKUP($H98,MZA!$E$2:$BJ$112,32,FALSE)</f>
        <v>19.12295419</v>
      </c>
    </row>
    <row r="99" spans="1:26" x14ac:dyDescent="0.25">
      <c r="A99" t="s">
        <v>572</v>
      </c>
      <c r="B99" t="s">
        <v>578</v>
      </c>
      <c r="C99" t="s">
        <v>348</v>
      </c>
      <c r="D99" s="1">
        <f>VLOOKUP(Zuweisungen!C99,'DIN V 18599-10'!$A$2:$B$47,2,FALSE)</f>
        <v>42</v>
      </c>
      <c r="E99" t="s">
        <v>345</v>
      </c>
      <c r="F99" t="str">
        <f>VLOOKUP(Zuweisungen!E99,'SIA 2024'!$A$2:$C$46,3,FALSE)</f>
        <v>1.2</v>
      </c>
      <c r="G99" s="26" t="str">
        <f>VLOOKUP($B99,MZA!$D$2:$D$112,1,FALSE)</f>
        <v>Ein- und Zweifamilienhaus</v>
      </c>
      <c r="H99" s="26">
        <f>VLOOKUP($B99,MZA!$D$2:$E$112,2,FALSE)</f>
        <v>110</v>
      </c>
      <c r="I99" s="9">
        <f>VLOOKUP(Zuweisungen!D99,'DIN V 18599-10'!$B$2:$F$47,2,FALSE)</f>
        <v>80</v>
      </c>
      <c r="J99" s="9">
        <f>VLOOKUP(Zuweisungen!F99,'SIA 2024'!$C$2:$G$46,2,FALSE)</f>
        <v>70</v>
      </c>
      <c r="K99" s="23">
        <f>VLOOKUP($H99,MZA!$E$2:$BJ$112,57,FALSE)</f>
        <v>80</v>
      </c>
      <c r="L99" s="19" t="str">
        <f>VLOOKUP(Zuweisungen!D99,'DIN V 18599-10'!$B$2:$F$47,3,FALSE)</f>
        <v>3.7</v>
      </c>
      <c r="M99" s="19" t="str">
        <f>VLOOKUP(Zuweisungen!D99,'DIN V 18599-10'!$B$2:$F$47,4,FALSE)</f>
        <v>5.6</v>
      </c>
      <c r="N99" s="19" t="str">
        <f>VLOOKUP(Zuweisungen!D99,'DIN V 18599-10'!$B$2:$F$47,5,FALSE)</f>
        <v>8.4</v>
      </c>
      <c r="O99" s="10">
        <f>VLOOKUP(Zuweisungen!F99,'SIA 2024'!$C$2:$G$46,4,FALSE)</f>
        <v>4</v>
      </c>
      <c r="P99" s="11">
        <f>VLOOKUP(Zuweisungen!F99,'SIA 2024'!$C$2:$G$46,3,FALSE)</f>
        <v>8</v>
      </c>
      <c r="Q99" s="12">
        <f>VLOOKUP(Zuweisungen!F99,'SIA 2024'!$C$2:$G$46,5,FALSE)</f>
        <v>10</v>
      </c>
      <c r="R99" s="24" t="str">
        <f>VLOOKUP($H99,MZA!$E$2:$BJ$112,58,FALSE)</f>
        <v>5.6</v>
      </c>
      <c r="S99" s="24" t="str">
        <f>VLOOKUP($H99,MZA!$E$2:$BJ$112,58,FALSE)</f>
        <v>5.6</v>
      </c>
      <c r="T99" s="24" t="str">
        <f>VLOOKUP($H99,MZA!$E$2:$BJ$112,58,FALSE)</f>
        <v>5.6</v>
      </c>
      <c r="U99">
        <f>VLOOKUP(Zuweisungen!D99,'DIN V 18599-10'!$B$2:$H$47,6,FALSE)</f>
        <v>0</v>
      </c>
      <c r="V99">
        <f>VLOOKUP(Zuweisungen!D99,'DIN V 18599-10'!$B$2:$H$47,7,FALSE)</f>
        <v>24</v>
      </c>
      <c r="W99">
        <f>VLOOKUP(Zuweisungen!F99,'SIA 2024'!$C$2:$I$46,6,FALSE)</f>
        <v>0</v>
      </c>
      <c r="X99">
        <f>VLOOKUP(Zuweisungen!F99,'SIA 2024'!$C$2:$I$46,7,FALSE)</f>
        <v>24</v>
      </c>
      <c r="Y99" s="3">
        <f>VLOOKUP($H99,MZA!$E$2:$BJ$112,31,FALSE)</f>
        <v>0</v>
      </c>
      <c r="Z99" s="3">
        <f>VLOOKUP($H99,MZA!$E$2:$BJ$112,32,FALSE)</f>
        <v>24</v>
      </c>
    </row>
    <row r="100" spans="1:26" x14ac:dyDescent="0.25">
      <c r="A100" t="s">
        <v>572</v>
      </c>
      <c r="B100" t="s">
        <v>579</v>
      </c>
      <c r="C100" t="s">
        <v>349</v>
      </c>
      <c r="D100" s="1">
        <f>VLOOKUP(Zuweisungen!C100,'DIN V 18599-10'!$A$2:$B$47,2,FALSE)</f>
        <v>43</v>
      </c>
      <c r="E100" t="s">
        <v>344</v>
      </c>
      <c r="F100" t="str">
        <f>VLOOKUP(Zuweisungen!E100,'SIA 2024'!$A$2:$C$46,3,FALSE)</f>
        <v>1.1</v>
      </c>
      <c r="G100" s="26" t="str">
        <f>VLOOKUP($B100,MZA!$D$2:$D$112,1,FALSE)</f>
        <v>Mehrfamilienhaus</v>
      </c>
      <c r="H100" s="26">
        <f>VLOOKUP($B100,MZA!$D$2:$E$112,2,FALSE)</f>
        <v>111</v>
      </c>
      <c r="I100" s="9">
        <f>VLOOKUP(Zuweisungen!D100,'DIN V 18599-10'!$B$2:$F$47,2,FALSE)</f>
        <v>80</v>
      </c>
      <c r="J100" s="9">
        <f>VLOOKUP(Zuweisungen!F100,'SIA 2024'!$C$2:$G$46,2,FALSE)</f>
        <v>70</v>
      </c>
      <c r="K100" s="23">
        <f>VLOOKUP($H100,MZA!$E$2:$BJ$112,57,FALSE)</f>
        <v>80</v>
      </c>
      <c r="L100" s="19" t="str">
        <f>VLOOKUP(Zuweisungen!D100,'DIN V 18599-10'!$B$2:$F$47,3,FALSE)</f>
        <v>4.8</v>
      </c>
      <c r="M100" s="19" t="str">
        <f>VLOOKUP(Zuweisungen!D100,'DIN V 18599-10'!$B$2:$F$47,4,FALSE)</f>
        <v>7.2</v>
      </c>
      <c r="N100" s="19" t="str">
        <f>VLOOKUP(Zuweisungen!D100,'DIN V 18599-10'!$B$2:$F$47,5,FALSE)</f>
        <v>10.8</v>
      </c>
      <c r="O100" s="10">
        <f>VLOOKUP(Zuweisungen!F100,'SIA 2024'!$C$2:$G$46,4,FALSE)</f>
        <v>4</v>
      </c>
      <c r="P100" s="11">
        <f>VLOOKUP(Zuweisungen!F100,'SIA 2024'!$C$2:$G$46,3,FALSE)</f>
        <v>8</v>
      </c>
      <c r="Q100" s="12">
        <f>VLOOKUP(Zuweisungen!F100,'SIA 2024'!$C$2:$G$46,5,FALSE)</f>
        <v>10</v>
      </c>
      <c r="R100" s="24" t="str">
        <f>VLOOKUP($H100,MZA!$E$2:$BJ$112,58,FALSE)</f>
        <v>7.2</v>
      </c>
      <c r="S100" s="24" t="str">
        <f>VLOOKUP($H100,MZA!$E$2:$BJ$112,58,FALSE)</f>
        <v>7.2</v>
      </c>
      <c r="T100" s="24" t="str">
        <f>VLOOKUP($H100,MZA!$E$2:$BJ$112,58,FALSE)</f>
        <v>7.2</v>
      </c>
      <c r="U100">
        <f>VLOOKUP(Zuweisungen!D100,'DIN V 18599-10'!$B$2:$H$47,6,FALSE)</f>
        <v>0</v>
      </c>
      <c r="V100">
        <f>VLOOKUP(Zuweisungen!D100,'DIN V 18599-10'!$B$2:$H$47,7,FALSE)</f>
        <v>24</v>
      </c>
      <c r="W100">
        <f>VLOOKUP(Zuweisungen!F100,'SIA 2024'!$C$2:$I$46,6,FALSE)</f>
        <v>0</v>
      </c>
      <c r="X100">
        <f>VLOOKUP(Zuweisungen!F100,'SIA 2024'!$C$2:$I$46,7,FALSE)</f>
        <v>24</v>
      </c>
      <c r="Y100" s="3">
        <f>VLOOKUP($H100,MZA!$E$2:$BJ$112,31,FALSE)</f>
        <v>0</v>
      </c>
      <c r="Z100" s="3">
        <f>VLOOKUP($H100,MZA!$E$2:$BJ$112,32,FALSE)</f>
        <v>24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'SIA 2024'!$A$2:$A$46</xm:f>
          </x14:formula1>
          <xm:sqref>E2:E100</xm:sqref>
        </x14:dataValidation>
        <x14:dataValidation type="list" allowBlank="1" showInputMessage="1" showErrorMessage="1" xr:uid="{00000000-0002-0000-0200-000001000000}">
          <x14:formula1>
            <xm:f>'DIN V 18599-10'!$A$2:$A$47</xm:f>
          </x14:formula1>
          <xm:sqref>C2:C100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DIN V 18599-10</vt:lpstr>
      <vt:lpstr>SIA 2024</vt:lpstr>
      <vt:lpstr>MZA</vt:lpstr>
      <vt:lpstr>Zuweisungen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Bischof, Julian;Müller, André</dc:creator>
  <cp:lastModifiedBy>André Müller</cp:lastModifiedBy>
  <cp:lastPrinted>2020-05-21T09:32:15Z</cp:lastPrinted>
  <dcterms:created xsi:type="dcterms:W3CDTF">2020-03-31T13:46:08Z</dcterms:created>
  <dcterms:modified xsi:type="dcterms:W3CDTF">2025-04-17T14:02:08Z</dcterms:modified>
</cp:coreProperties>
</file>