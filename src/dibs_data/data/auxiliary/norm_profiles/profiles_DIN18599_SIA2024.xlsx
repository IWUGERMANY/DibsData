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/>
  <mc:AlternateContent xmlns:mc="http://schemas.openxmlformats.org/markup-compatibility/2006">
    <mc:Choice Requires="x15">
      <x15ac:absPath xmlns:x15ac="http://schemas.microsoft.com/office/spreadsheetml/2010/11/ac" url="C:\Users\Julian\Downloads\"/>
    </mc:Choice>
  </mc:AlternateContent>
  <xr:revisionPtr revIDLastSave="0" documentId="13_ncr:1_{74924387-B2C0-4558-871A-13A9219F21F3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DIN V 18599-10" sheetId="2" r:id="rId1"/>
    <sheet name="SIA 2024" sheetId="3" r:id="rId2"/>
    <sheet name="Zuweisungen" sheetId="4" r:id="rId3"/>
  </sheets>
  <externalReferences>
    <externalReference r:id="rId4"/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1" i="4" l="1"/>
  <c r="R71" i="4"/>
  <c r="T71" i="4"/>
  <c r="S71" i="4"/>
  <c r="Y71" i="4"/>
  <c r="Z71" i="4"/>
  <c r="Z3" i="4"/>
  <c r="Z4" i="4"/>
  <c r="Z5" i="4"/>
  <c r="Z6" i="4"/>
  <c r="Z7" i="4"/>
  <c r="Z8" i="4"/>
  <c r="Z9" i="4"/>
  <c r="Z10" i="4"/>
  <c r="Z11" i="4"/>
  <c r="Z12" i="4"/>
  <c r="Z13" i="4"/>
  <c r="Z14" i="4"/>
  <c r="Z15" i="4"/>
  <c r="Z16" i="4"/>
  <c r="Z17" i="4"/>
  <c r="Z18" i="4"/>
  <c r="Z19" i="4"/>
  <c r="Z20" i="4"/>
  <c r="Z21" i="4"/>
  <c r="Z22" i="4"/>
  <c r="Z23" i="4"/>
  <c r="Z24" i="4"/>
  <c r="Z25" i="4"/>
  <c r="Z26" i="4"/>
  <c r="Z27" i="4"/>
  <c r="Z28" i="4"/>
  <c r="Z29" i="4"/>
  <c r="Z30" i="4"/>
  <c r="Z31" i="4"/>
  <c r="Z32" i="4"/>
  <c r="Z33" i="4"/>
  <c r="Z34" i="4"/>
  <c r="Z35" i="4"/>
  <c r="Z36" i="4"/>
  <c r="Z37" i="4"/>
  <c r="Z38" i="4"/>
  <c r="Z39" i="4"/>
  <c r="Z40" i="4"/>
  <c r="Z41" i="4"/>
  <c r="Z42" i="4"/>
  <c r="Z43" i="4"/>
  <c r="Z44" i="4"/>
  <c r="Z45" i="4"/>
  <c r="Z46" i="4"/>
  <c r="Z47" i="4"/>
  <c r="Z48" i="4"/>
  <c r="Z49" i="4"/>
  <c r="Z50" i="4"/>
  <c r="Z51" i="4"/>
  <c r="Z52" i="4"/>
  <c r="Z53" i="4"/>
  <c r="Z54" i="4"/>
  <c r="Z55" i="4"/>
  <c r="Z56" i="4"/>
  <c r="Z57" i="4"/>
  <c r="Z58" i="4"/>
  <c r="Z59" i="4"/>
  <c r="Z60" i="4"/>
  <c r="Z61" i="4"/>
  <c r="Z62" i="4"/>
  <c r="Z63" i="4"/>
  <c r="Z64" i="4"/>
  <c r="Z65" i="4"/>
  <c r="Z66" i="4"/>
  <c r="Z67" i="4"/>
  <c r="Z68" i="4"/>
  <c r="Z69" i="4"/>
  <c r="Z70" i="4"/>
  <c r="Z72" i="4"/>
  <c r="Z73" i="4"/>
  <c r="Z74" i="4"/>
  <c r="Z75" i="4"/>
  <c r="Z76" i="4"/>
  <c r="Z77" i="4"/>
  <c r="Z78" i="4"/>
  <c r="Z79" i="4"/>
  <c r="Z80" i="4"/>
  <c r="Z81" i="4"/>
  <c r="Z82" i="4"/>
  <c r="Z83" i="4"/>
  <c r="Z84" i="4"/>
  <c r="Z85" i="4"/>
  <c r="Z86" i="4"/>
  <c r="Z87" i="4"/>
  <c r="Z88" i="4"/>
  <c r="Z89" i="4"/>
  <c r="Z90" i="4"/>
  <c r="Z91" i="4"/>
  <c r="Z92" i="4"/>
  <c r="Z93" i="4"/>
  <c r="Z94" i="4"/>
  <c r="Z95" i="4"/>
  <c r="Z96" i="4"/>
  <c r="Z97" i="4"/>
  <c r="Z98" i="4"/>
  <c r="Y3" i="4"/>
  <c r="Y4" i="4"/>
  <c r="Y5" i="4"/>
  <c r="Y6" i="4"/>
  <c r="Y7" i="4"/>
  <c r="Y8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47" i="4"/>
  <c r="Y48" i="4"/>
  <c r="Y49" i="4"/>
  <c r="Y50" i="4"/>
  <c r="Y51" i="4"/>
  <c r="Y52" i="4"/>
  <c r="Y53" i="4"/>
  <c r="Y54" i="4"/>
  <c r="Y55" i="4"/>
  <c r="Y56" i="4"/>
  <c r="Y57" i="4"/>
  <c r="Y58" i="4"/>
  <c r="Y59" i="4"/>
  <c r="Y60" i="4"/>
  <c r="Y61" i="4"/>
  <c r="Y62" i="4"/>
  <c r="Y63" i="4"/>
  <c r="Y64" i="4"/>
  <c r="Y65" i="4"/>
  <c r="Y66" i="4"/>
  <c r="Y67" i="4"/>
  <c r="Y68" i="4"/>
  <c r="Y69" i="4"/>
  <c r="Y70" i="4"/>
  <c r="Y72" i="4"/>
  <c r="Y73" i="4"/>
  <c r="Y74" i="4"/>
  <c r="Y75" i="4"/>
  <c r="Y76" i="4"/>
  <c r="Y77" i="4"/>
  <c r="Y78" i="4"/>
  <c r="Y79" i="4"/>
  <c r="Y80" i="4"/>
  <c r="Y81" i="4"/>
  <c r="Y82" i="4"/>
  <c r="Y83" i="4"/>
  <c r="Y84" i="4"/>
  <c r="Y85" i="4"/>
  <c r="Y86" i="4"/>
  <c r="Y87" i="4"/>
  <c r="Y88" i="4"/>
  <c r="Y89" i="4"/>
  <c r="Y90" i="4"/>
  <c r="Y91" i="4"/>
  <c r="Y92" i="4"/>
  <c r="Y93" i="4"/>
  <c r="Y94" i="4"/>
  <c r="Y95" i="4"/>
  <c r="Y96" i="4"/>
  <c r="Y97" i="4"/>
  <c r="Y98" i="4"/>
  <c r="Z2" i="4"/>
  <c r="Y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2" i="4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72" i="4"/>
  <c r="S73" i="4"/>
  <c r="S74" i="4"/>
  <c r="S75" i="4"/>
  <c r="S76" i="4"/>
  <c r="S77" i="4"/>
  <c r="S78" i="4"/>
  <c r="S79" i="4"/>
  <c r="S80" i="4"/>
  <c r="S81" i="4"/>
  <c r="S82" i="4"/>
  <c r="S83" i="4"/>
  <c r="S84" i="4"/>
  <c r="S85" i="4"/>
  <c r="S86" i="4"/>
  <c r="S87" i="4"/>
  <c r="S88" i="4"/>
  <c r="S89" i="4"/>
  <c r="S90" i="4"/>
  <c r="S91" i="4"/>
  <c r="S92" i="4"/>
  <c r="S93" i="4"/>
  <c r="S94" i="4"/>
  <c r="S95" i="4"/>
  <c r="S96" i="4"/>
  <c r="S97" i="4"/>
  <c r="S98" i="4"/>
  <c r="S2" i="4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7" i="4"/>
  <c r="R58" i="4"/>
  <c r="R59" i="4"/>
  <c r="R60" i="4"/>
  <c r="R61" i="4"/>
  <c r="R62" i="4"/>
  <c r="R63" i="4"/>
  <c r="R64" i="4"/>
  <c r="R65" i="4"/>
  <c r="R66" i="4"/>
  <c r="R67" i="4"/>
  <c r="R68" i="4"/>
  <c r="R69" i="4"/>
  <c r="R70" i="4"/>
  <c r="R72" i="4"/>
  <c r="R73" i="4"/>
  <c r="R74" i="4"/>
  <c r="R75" i="4"/>
  <c r="R76" i="4"/>
  <c r="R77" i="4"/>
  <c r="R78" i="4"/>
  <c r="R79" i="4"/>
  <c r="R80" i="4"/>
  <c r="R81" i="4"/>
  <c r="R82" i="4"/>
  <c r="R83" i="4"/>
  <c r="R84" i="4"/>
  <c r="R85" i="4"/>
  <c r="R86" i="4"/>
  <c r="R87" i="4"/>
  <c r="R88" i="4"/>
  <c r="R89" i="4"/>
  <c r="R90" i="4"/>
  <c r="R91" i="4"/>
  <c r="R92" i="4"/>
  <c r="R93" i="4"/>
  <c r="R94" i="4"/>
  <c r="R95" i="4"/>
  <c r="R96" i="4"/>
  <c r="R97" i="4"/>
  <c r="R98" i="4"/>
  <c r="R2" i="4"/>
  <c r="Q2" i="4" l="1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2" i="4"/>
  <c r="G71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2" i="4"/>
  <c r="F3" i="4"/>
  <c r="F4" i="4"/>
  <c r="F5" i="4"/>
  <c r="F6" i="4"/>
  <c r="X6" i="4" s="1"/>
  <c r="F7" i="4"/>
  <c r="F8" i="4"/>
  <c r="F9" i="4"/>
  <c r="F10" i="4"/>
  <c r="P10" i="4" s="1"/>
  <c r="F11" i="4"/>
  <c r="W11" i="4" s="1"/>
  <c r="F12" i="4"/>
  <c r="F13" i="4"/>
  <c r="F14" i="4"/>
  <c r="Q14" i="4" s="1"/>
  <c r="F15" i="4"/>
  <c r="W15" i="4" s="1"/>
  <c r="F16" i="4"/>
  <c r="J16" i="4" s="1"/>
  <c r="F17" i="4"/>
  <c r="F18" i="4"/>
  <c r="X18" i="4" s="1"/>
  <c r="F19" i="4"/>
  <c r="Q19" i="4" s="1"/>
  <c r="F20" i="4"/>
  <c r="F21" i="4"/>
  <c r="F22" i="4"/>
  <c r="X22" i="4" s="1"/>
  <c r="F23" i="4"/>
  <c r="P23" i="4" s="1"/>
  <c r="F24" i="4"/>
  <c r="F25" i="4"/>
  <c r="F26" i="4"/>
  <c r="X26" i="4" s="1"/>
  <c r="F27" i="4"/>
  <c r="Q27" i="4" s="1"/>
  <c r="F28" i="4"/>
  <c r="X28" i="4" s="1"/>
  <c r="F29" i="4"/>
  <c r="F30" i="4"/>
  <c r="X30" i="4" s="1"/>
  <c r="F31" i="4"/>
  <c r="Q31" i="4" s="1"/>
  <c r="F32" i="4"/>
  <c r="X32" i="4" s="1"/>
  <c r="F33" i="4"/>
  <c r="F34" i="4"/>
  <c r="J34" i="4" s="1"/>
  <c r="F35" i="4"/>
  <c r="J35" i="4" s="1"/>
  <c r="F36" i="4"/>
  <c r="O36" i="4" s="1"/>
  <c r="F37" i="4"/>
  <c r="F38" i="4"/>
  <c r="J38" i="4" s="1"/>
  <c r="F39" i="4"/>
  <c r="J39" i="4" s="1"/>
  <c r="F40" i="4"/>
  <c r="F41" i="4"/>
  <c r="F42" i="4"/>
  <c r="O42" i="4" s="1"/>
  <c r="F43" i="4"/>
  <c r="O43" i="4" s="1"/>
  <c r="F44" i="4"/>
  <c r="J44" i="4" s="1"/>
  <c r="F45" i="4"/>
  <c r="F46" i="4"/>
  <c r="O46" i="4" s="1"/>
  <c r="F47" i="4"/>
  <c r="O47" i="4" s="1"/>
  <c r="F48" i="4"/>
  <c r="O48" i="4" s="1"/>
  <c r="F49" i="4"/>
  <c r="F50" i="4"/>
  <c r="X50" i="4" s="1"/>
  <c r="F51" i="4"/>
  <c r="P51" i="4" s="1"/>
  <c r="F52" i="4"/>
  <c r="O52" i="4" s="1"/>
  <c r="F53" i="4"/>
  <c r="F54" i="4"/>
  <c r="J54" i="4" s="1"/>
  <c r="F55" i="4"/>
  <c r="J55" i="4" s="1"/>
  <c r="F56" i="4"/>
  <c r="O56" i="4" s="1"/>
  <c r="F57" i="4"/>
  <c r="F58" i="4"/>
  <c r="P58" i="4" s="1"/>
  <c r="F59" i="4"/>
  <c r="O59" i="4" s="1"/>
  <c r="F60" i="4"/>
  <c r="O60" i="4" s="1"/>
  <c r="F61" i="4"/>
  <c r="P61" i="4" s="1"/>
  <c r="F62" i="4"/>
  <c r="Q62" i="4" s="1"/>
  <c r="F63" i="4"/>
  <c r="F64" i="4"/>
  <c r="F65" i="4"/>
  <c r="F66" i="4"/>
  <c r="O66" i="4" s="1"/>
  <c r="F67" i="4"/>
  <c r="O67" i="4" s="1"/>
  <c r="F68" i="4"/>
  <c r="F69" i="4"/>
  <c r="F70" i="4"/>
  <c r="O70" i="4" s="1"/>
  <c r="F71" i="4"/>
  <c r="O71" i="4" s="1"/>
  <c r="F72" i="4"/>
  <c r="F73" i="4"/>
  <c r="F74" i="4"/>
  <c r="X74" i="4" s="1"/>
  <c r="F75" i="4"/>
  <c r="W75" i="4" s="1"/>
  <c r="F76" i="4"/>
  <c r="F77" i="4"/>
  <c r="F78" i="4"/>
  <c r="X78" i="4" s="1"/>
  <c r="F79" i="4"/>
  <c r="X79" i="4" s="1"/>
  <c r="F80" i="4"/>
  <c r="F81" i="4"/>
  <c r="W81" i="4" s="1"/>
  <c r="F82" i="4"/>
  <c r="Q82" i="4" s="1"/>
  <c r="F83" i="4"/>
  <c r="Q83" i="4" s="1"/>
  <c r="F84" i="4"/>
  <c r="O84" i="4" s="1"/>
  <c r="F85" i="4"/>
  <c r="P85" i="4" s="1"/>
  <c r="F86" i="4"/>
  <c r="Q86" i="4" s="1"/>
  <c r="F87" i="4"/>
  <c r="Q87" i="4" s="1"/>
  <c r="F88" i="4"/>
  <c r="O88" i="4" s="1"/>
  <c r="F89" i="4"/>
  <c r="P89" i="4" s="1"/>
  <c r="F90" i="4"/>
  <c r="Q90" i="4" s="1"/>
  <c r="F91" i="4"/>
  <c r="Q91" i="4" s="1"/>
  <c r="F92" i="4"/>
  <c r="O92" i="4" s="1"/>
  <c r="F93" i="4"/>
  <c r="W93" i="4" s="1"/>
  <c r="F94" i="4"/>
  <c r="Q94" i="4" s="1"/>
  <c r="F95" i="4"/>
  <c r="Q95" i="4" s="1"/>
  <c r="F96" i="4"/>
  <c r="O96" i="4" s="1"/>
  <c r="F97" i="4"/>
  <c r="P97" i="4" s="1"/>
  <c r="F98" i="4"/>
  <c r="Q98" i="4" s="1"/>
  <c r="F2" i="4"/>
  <c r="X2" i="4" s="1"/>
  <c r="D3" i="4"/>
  <c r="D4" i="4"/>
  <c r="D5" i="4"/>
  <c r="D6" i="4"/>
  <c r="D7" i="4"/>
  <c r="I7" i="4" s="1"/>
  <c r="D8" i="4"/>
  <c r="L8" i="4" s="1"/>
  <c r="D9" i="4"/>
  <c r="M9" i="4" s="1"/>
  <c r="D10" i="4"/>
  <c r="D11" i="4"/>
  <c r="D12" i="4"/>
  <c r="D13" i="4"/>
  <c r="M13" i="4" s="1"/>
  <c r="D14" i="4"/>
  <c r="D15" i="4"/>
  <c r="D16" i="4"/>
  <c r="I16" i="4" s="1"/>
  <c r="D17" i="4"/>
  <c r="D18" i="4"/>
  <c r="L18" i="4" s="1"/>
  <c r="D19" i="4"/>
  <c r="D20" i="4"/>
  <c r="D21" i="4"/>
  <c r="D22" i="4"/>
  <c r="M22" i="4" s="1"/>
  <c r="D23" i="4"/>
  <c r="D24" i="4"/>
  <c r="D25" i="4"/>
  <c r="D26" i="4"/>
  <c r="L26" i="4" s="1"/>
  <c r="D27" i="4"/>
  <c r="D28" i="4"/>
  <c r="D29" i="4"/>
  <c r="D30" i="4"/>
  <c r="L30" i="4" s="1"/>
  <c r="D31" i="4"/>
  <c r="D32" i="4"/>
  <c r="D33" i="4"/>
  <c r="V33" i="4" s="1"/>
  <c r="D34" i="4"/>
  <c r="N34" i="4" s="1"/>
  <c r="D35" i="4"/>
  <c r="D36" i="4"/>
  <c r="D37" i="4"/>
  <c r="I37" i="4" s="1"/>
  <c r="D38" i="4"/>
  <c r="N38" i="4" s="1"/>
  <c r="D39" i="4"/>
  <c r="I39" i="4" s="1"/>
  <c r="D40" i="4"/>
  <c r="D41" i="4"/>
  <c r="V41" i="4" s="1"/>
  <c r="D42" i="4"/>
  <c r="I42" i="4" s="1"/>
  <c r="D43" i="4"/>
  <c r="D44" i="4"/>
  <c r="V44" i="4" s="1"/>
  <c r="D45" i="4"/>
  <c r="V45" i="4" s="1"/>
  <c r="D46" i="4"/>
  <c r="I46" i="4" s="1"/>
  <c r="D47" i="4"/>
  <c r="D48" i="4"/>
  <c r="L48" i="4" s="1"/>
  <c r="D49" i="4"/>
  <c r="M49" i="4" s="1"/>
  <c r="D50" i="4"/>
  <c r="D51" i="4"/>
  <c r="L51" i="4" s="1"/>
  <c r="D52" i="4"/>
  <c r="D53" i="4"/>
  <c r="I53" i="4" s="1"/>
  <c r="D54" i="4"/>
  <c r="N54" i="4" s="1"/>
  <c r="D55" i="4"/>
  <c r="I55" i="4" s="1"/>
  <c r="D56" i="4"/>
  <c r="D57" i="4"/>
  <c r="L57" i="4" s="1"/>
  <c r="D58" i="4"/>
  <c r="L58" i="4" s="1"/>
  <c r="D59" i="4"/>
  <c r="D60" i="4"/>
  <c r="I60" i="4" s="1"/>
  <c r="D61" i="4"/>
  <c r="L61" i="4" s="1"/>
  <c r="D62" i="4"/>
  <c r="M62" i="4" s="1"/>
  <c r="D63" i="4"/>
  <c r="L63" i="4" s="1"/>
  <c r="D64" i="4"/>
  <c r="V64" i="4" s="1"/>
  <c r="D65" i="4"/>
  <c r="V65" i="4" s="1"/>
  <c r="D66" i="4"/>
  <c r="I66" i="4" s="1"/>
  <c r="D67" i="4"/>
  <c r="N67" i="4" s="1"/>
  <c r="D68" i="4"/>
  <c r="V68" i="4" s="1"/>
  <c r="D69" i="4"/>
  <c r="V69" i="4" s="1"/>
  <c r="D70" i="4"/>
  <c r="I70" i="4" s="1"/>
  <c r="D71" i="4"/>
  <c r="N71" i="4" s="1"/>
  <c r="D72" i="4"/>
  <c r="V72" i="4" s="1"/>
  <c r="D73" i="4"/>
  <c r="L73" i="4" s="1"/>
  <c r="D74" i="4"/>
  <c r="D75" i="4"/>
  <c r="D76" i="4"/>
  <c r="D77" i="4"/>
  <c r="L77" i="4" s="1"/>
  <c r="D78" i="4"/>
  <c r="D79" i="4"/>
  <c r="M79" i="4" s="1"/>
  <c r="D80" i="4"/>
  <c r="D81" i="4"/>
  <c r="M81" i="4" s="1"/>
  <c r="D82" i="4"/>
  <c r="M82" i="4" s="1"/>
  <c r="D83" i="4"/>
  <c r="L83" i="4" s="1"/>
  <c r="D84" i="4"/>
  <c r="D85" i="4"/>
  <c r="M85" i="4" s="1"/>
  <c r="D86" i="4"/>
  <c r="M86" i="4" s="1"/>
  <c r="D87" i="4"/>
  <c r="V87" i="4" s="1"/>
  <c r="D88" i="4"/>
  <c r="D89" i="4"/>
  <c r="M89" i="4" s="1"/>
  <c r="D90" i="4"/>
  <c r="M90" i="4" s="1"/>
  <c r="D91" i="4"/>
  <c r="L91" i="4" s="1"/>
  <c r="D92" i="4"/>
  <c r="D93" i="4"/>
  <c r="M93" i="4" s="1"/>
  <c r="D94" i="4"/>
  <c r="M94" i="4" s="1"/>
  <c r="D95" i="4"/>
  <c r="V95" i="4" s="1"/>
  <c r="D96" i="4"/>
  <c r="D97" i="4"/>
  <c r="M97" i="4" s="1"/>
  <c r="D98" i="4"/>
  <c r="M98" i="4" s="1"/>
  <c r="D2" i="4"/>
  <c r="V2" i="4" s="1"/>
  <c r="L93" i="4" l="1"/>
  <c r="O54" i="4"/>
  <c r="O38" i="4"/>
  <c r="X15" i="4"/>
  <c r="P14" i="4"/>
  <c r="P84" i="4"/>
  <c r="O91" i="4"/>
  <c r="V83" i="4"/>
  <c r="U70" i="4"/>
  <c r="U53" i="4"/>
  <c r="V37" i="4"/>
  <c r="W2" i="4"/>
  <c r="P90" i="4"/>
  <c r="W82" i="4"/>
  <c r="N69" i="4"/>
  <c r="L13" i="4"/>
  <c r="V97" i="4"/>
  <c r="J90" i="4"/>
  <c r="O82" i="4"/>
  <c r="N65" i="4"/>
  <c r="Q50" i="4"/>
  <c r="U33" i="4"/>
  <c r="Q10" i="4"/>
  <c r="P96" i="4"/>
  <c r="V89" i="4"/>
  <c r="J82" i="4"/>
  <c r="X62" i="4"/>
  <c r="L49" i="4"/>
  <c r="P31" i="4"/>
  <c r="L9" i="4"/>
  <c r="L95" i="4"/>
  <c r="P87" i="4"/>
  <c r="W79" i="4"/>
  <c r="L62" i="4"/>
  <c r="W6" i="4"/>
  <c r="W94" i="4"/>
  <c r="V86" i="4"/>
  <c r="P78" i="4"/>
  <c r="Q58" i="4"/>
  <c r="J46" i="4"/>
  <c r="Q23" i="4"/>
  <c r="O94" i="4"/>
  <c r="L86" i="4"/>
  <c r="P74" i="4"/>
  <c r="J42" i="4"/>
  <c r="L22" i="4"/>
  <c r="J91" i="4"/>
  <c r="L87" i="4"/>
  <c r="W85" i="4"/>
  <c r="O83" i="4"/>
  <c r="P27" i="4"/>
  <c r="J2" i="4"/>
  <c r="P98" i="4"/>
  <c r="V94" i="4"/>
  <c r="P92" i="4"/>
  <c r="W90" i="4"/>
  <c r="L89" i="4"/>
  <c r="J87" i="4"/>
  <c r="V85" i="4"/>
  <c r="M77" i="4"/>
  <c r="W62" i="4"/>
  <c r="Q51" i="4"/>
  <c r="V46" i="4"/>
  <c r="V42" i="4"/>
  <c r="U37" i="4"/>
  <c r="M26" i="4"/>
  <c r="M18" i="4"/>
  <c r="X11" i="4"/>
  <c r="V98" i="4"/>
  <c r="P19" i="4"/>
  <c r="L2" i="4"/>
  <c r="O98" i="4"/>
  <c r="W95" i="4"/>
  <c r="P94" i="4"/>
  <c r="V90" i="4"/>
  <c r="P88" i="4"/>
  <c r="W86" i="4"/>
  <c r="L85" i="4"/>
  <c r="J83" i="4"/>
  <c r="V81" i="4"/>
  <c r="V70" i="4"/>
  <c r="V66" i="4"/>
  <c r="U46" i="4"/>
  <c r="U42" i="4"/>
  <c r="O2" i="4"/>
  <c r="X75" i="4"/>
  <c r="P2" i="4"/>
  <c r="J98" i="4"/>
  <c r="P95" i="4"/>
  <c r="L94" i="4"/>
  <c r="V91" i="4"/>
  <c r="O90" i="4"/>
  <c r="W87" i="4"/>
  <c r="P86" i="4"/>
  <c r="V82" i="4"/>
  <c r="I81" i="4"/>
  <c r="J70" i="4"/>
  <c r="J66" i="4"/>
  <c r="L60" i="4"/>
  <c r="P50" i="4"/>
  <c r="M30" i="4"/>
  <c r="L98" i="4"/>
  <c r="W91" i="4"/>
  <c r="L81" i="4"/>
  <c r="U66" i="4"/>
  <c r="W97" i="4"/>
  <c r="O95" i="4"/>
  <c r="J94" i="4"/>
  <c r="P91" i="4"/>
  <c r="L90" i="4"/>
  <c r="O86" i="4"/>
  <c r="W83" i="4"/>
  <c r="P82" i="4"/>
  <c r="Q74" i="4"/>
  <c r="V53" i="4"/>
  <c r="N45" i="4"/>
  <c r="N41" i="4"/>
  <c r="O34" i="4"/>
  <c r="W98" i="4"/>
  <c r="L97" i="4"/>
  <c r="J95" i="4"/>
  <c r="V93" i="4"/>
  <c r="W89" i="4"/>
  <c r="O87" i="4"/>
  <c r="J86" i="4"/>
  <c r="P83" i="4"/>
  <c r="L82" i="4"/>
  <c r="Q78" i="4"/>
  <c r="M96" i="4"/>
  <c r="I96" i="4"/>
  <c r="N96" i="4"/>
  <c r="U96" i="4"/>
  <c r="M92" i="4"/>
  <c r="I92" i="4"/>
  <c r="N92" i="4"/>
  <c r="U92" i="4"/>
  <c r="M88" i="4"/>
  <c r="I88" i="4"/>
  <c r="N88" i="4"/>
  <c r="U88" i="4"/>
  <c r="M84" i="4"/>
  <c r="I84" i="4"/>
  <c r="N84" i="4"/>
  <c r="U84" i="4"/>
  <c r="I80" i="4"/>
  <c r="N80" i="4"/>
  <c r="U80" i="4"/>
  <c r="V80" i="4"/>
  <c r="L80" i="4"/>
  <c r="M80" i="4"/>
  <c r="L72" i="4"/>
  <c r="M72" i="4"/>
  <c r="N72" i="4"/>
  <c r="L68" i="4"/>
  <c r="M68" i="4"/>
  <c r="N68" i="4"/>
  <c r="L64" i="4"/>
  <c r="M64" i="4"/>
  <c r="N64" i="4"/>
  <c r="L56" i="4"/>
  <c r="M56" i="4"/>
  <c r="I56" i="4"/>
  <c r="U56" i="4"/>
  <c r="V56" i="4"/>
  <c r="L40" i="4"/>
  <c r="M40" i="4"/>
  <c r="N40" i="4"/>
  <c r="I40" i="4"/>
  <c r="U40" i="4"/>
  <c r="I32" i="4"/>
  <c r="N32" i="4"/>
  <c r="U32" i="4"/>
  <c r="V32" i="4"/>
  <c r="L32" i="4"/>
  <c r="M32" i="4"/>
  <c r="I20" i="4"/>
  <c r="N20" i="4"/>
  <c r="U20" i="4"/>
  <c r="V20" i="4"/>
  <c r="L20" i="4"/>
  <c r="M20" i="4"/>
  <c r="I12" i="4"/>
  <c r="N12" i="4"/>
  <c r="U12" i="4"/>
  <c r="V12" i="4"/>
  <c r="L12" i="4"/>
  <c r="M12" i="4"/>
  <c r="I4" i="4"/>
  <c r="N4" i="4"/>
  <c r="U4" i="4"/>
  <c r="V4" i="4"/>
  <c r="L4" i="4"/>
  <c r="Q93" i="4"/>
  <c r="X93" i="4"/>
  <c r="J81" i="4"/>
  <c r="Q81" i="4"/>
  <c r="X81" i="4"/>
  <c r="J77" i="4"/>
  <c r="O77" i="4"/>
  <c r="P77" i="4"/>
  <c r="Q77" i="4"/>
  <c r="P73" i="4"/>
  <c r="Q73" i="4"/>
  <c r="J73" i="4"/>
  <c r="O73" i="4"/>
  <c r="P69" i="4"/>
  <c r="W69" i="4"/>
  <c r="Q69" i="4"/>
  <c r="X69" i="4"/>
  <c r="J69" i="4"/>
  <c r="P65" i="4"/>
  <c r="W65" i="4"/>
  <c r="Q65" i="4"/>
  <c r="X65" i="4"/>
  <c r="J65" i="4"/>
  <c r="P57" i="4"/>
  <c r="Q57" i="4"/>
  <c r="W57" i="4"/>
  <c r="X57" i="4"/>
  <c r="P53" i="4"/>
  <c r="W53" i="4"/>
  <c r="Q53" i="4"/>
  <c r="X53" i="4"/>
  <c r="O53" i="4"/>
  <c r="P45" i="4"/>
  <c r="W45" i="4"/>
  <c r="Q45" i="4"/>
  <c r="X45" i="4"/>
  <c r="J45" i="4"/>
  <c r="P41" i="4"/>
  <c r="W41" i="4"/>
  <c r="Q41" i="4"/>
  <c r="X41" i="4"/>
  <c r="J41" i="4"/>
  <c r="J33" i="4"/>
  <c r="P33" i="4"/>
  <c r="W33" i="4"/>
  <c r="Q33" i="4"/>
  <c r="X33" i="4"/>
  <c r="O33" i="4"/>
  <c r="J29" i="4"/>
  <c r="O29" i="4"/>
  <c r="W29" i="4"/>
  <c r="X29" i="4"/>
  <c r="P29" i="4"/>
  <c r="Q29" i="4"/>
  <c r="J21" i="4"/>
  <c r="O21" i="4"/>
  <c r="W21" i="4"/>
  <c r="X21" i="4"/>
  <c r="P21" i="4"/>
  <c r="Q21" i="4"/>
  <c r="J17" i="4"/>
  <c r="O17" i="4"/>
  <c r="W17" i="4"/>
  <c r="X17" i="4"/>
  <c r="P17" i="4"/>
  <c r="Q17" i="4"/>
  <c r="J9" i="4"/>
  <c r="O9" i="4"/>
  <c r="P9" i="4"/>
  <c r="Q9" i="4"/>
  <c r="W9" i="4"/>
  <c r="X9" i="4"/>
  <c r="J5" i="4"/>
  <c r="O5" i="4"/>
  <c r="W5" i="4"/>
  <c r="X5" i="4"/>
  <c r="P5" i="4"/>
  <c r="U64" i="4"/>
  <c r="N56" i="4"/>
  <c r="V40" i="4"/>
  <c r="U2" i="4"/>
  <c r="N2" i="4"/>
  <c r="I2" i="4"/>
  <c r="M2" i="4"/>
  <c r="M95" i="4"/>
  <c r="I95" i="4"/>
  <c r="N95" i="4"/>
  <c r="U95" i="4"/>
  <c r="M91" i="4"/>
  <c r="I91" i="4"/>
  <c r="N91" i="4"/>
  <c r="U91" i="4"/>
  <c r="M83" i="4"/>
  <c r="I83" i="4"/>
  <c r="N83" i="4"/>
  <c r="U83" i="4"/>
  <c r="I75" i="4"/>
  <c r="N75" i="4"/>
  <c r="U75" i="4"/>
  <c r="V75" i="4"/>
  <c r="L67" i="4"/>
  <c r="M67" i="4"/>
  <c r="I67" i="4"/>
  <c r="U67" i="4"/>
  <c r="V67" i="4"/>
  <c r="L55" i="4"/>
  <c r="M55" i="4"/>
  <c r="N55" i="4"/>
  <c r="L47" i="4"/>
  <c r="M47" i="4"/>
  <c r="I47" i="4"/>
  <c r="U47" i="4"/>
  <c r="V47" i="4"/>
  <c r="N47" i="4"/>
  <c r="L43" i="4"/>
  <c r="M43" i="4"/>
  <c r="I43" i="4"/>
  <c r="U43" i="4"/>
  <c r="N43" i="4"/>
  <c r="V43" i="4"/>
  <c r="L35" i="4"/>
  <c r="M35" i="4"/>
  <c r="N35" i="4"/>
  <c r="I35" i="4"/>
  <c r="U35" i="4"/>
  <c r="I31" i="4"/>
  <c r="N31" i="4"/>
  <c r="U31" i="4"/>
  <c r="V31" i="4"/>
  <c r="L31" i="4"/>
  <c r="M31" i="4"/>
  <c r="I27" i="4"/>
  <c r="N27" i="4"/>
  <c r="U27" i="4"/>
  <c r="V27" i="4"/>
  <c r="L27" i="4"/>
  <c r="M27" i="4"/>
  <c r="I23" i="4"/>
  <c r="N23" i="4"/>
  <c r="U23" i="4"/>
  <c r="V23" i="4"/>
  <c r="L23" i="4"/>
  <c r="M23" i="4"/>
  <c r="I19" i="4"/>
  <c r="N19" i="4"/>
  <c r="U19" i="4"/>
  <c r="V19" i="4"/>
  <c r="L19" i="4"/>
  <c r="M19" i="4"/>
  <c r="I15" i="4"/>
  <c r="N15" i="4"/>
  <c r="U15" i="4"/>
  <c r="V15" i="4"/>
  <c r="L15" i="4"/>
  <c r="M15" i="4"/>
  <c r="I11" i="4"/>
  <c r="N11" i="4"/>
  <c r="U11" i="4"/>
  <c r="V11" i="4"/>
  <c r="L11" i="4"/>
  <c r="M11" i="4"/>
  <c r="I3" i="4"/>
  <c r="N3" i="4"/>
  <c r="U3" i="4"/>
  <c r="V3" i="4"/>
  <c r="L3" i="4"/>
  <c r="M3" i="4"/>
  <c r="Q96" i="4"/>
  <c r="X96" i="4"/>
  <c r="Q92" i="4"/>
  <c r="X92" i="4"/>
  <c r="Q88" i="4"/>
  <c r="X88" i="4"/>
  <c r="Q84" i="4"/>
  <c r="X84" i="4"/>
  <c r="J80" i="4"/>
  <c r="O80" i="4"/>
  <c r="W80" i="4"/>
  <c r="X80" i="4"/>
  <c r="J76" i="4"/>
  <c r="O76" i="4"/>
  <c r="W76" i="4"/>
  <c r="X76" i="4"/>
  <c r="P72" i="4"/>
  <c r="W72" i="4"/>
  <c r="Q72" i="4"/>
  <c r="X72" i="4"/>
  <c r="O72" i="4"/>
  <c r="P68" i="4"/>
  <c r="W68" i="4"/>
  <c r="Q68" i="4"/>
  <c r="X68" i="4"/>
  <c r="O68" i="4"/>
  <c r="P64" i="4"/>
  <c r="W64" i="4"/>
  <c r="Q64" i="4"/>
  <c r="X64" i="4"/>
  <c r="O64" i="4"/>
  <c r="P56" i="4"/>
  <c r="W56" i="4"/>
  <c r="Q56" i="4"/>
  <c r="X56" i="4"/>
  <c r="J56" i="4"/>
  <c r="P52" i="4"/>
  <c r="W52" i="4"/>
  <c r="Q52" i="4"/>
  <c r="X52" i="4"/>
  <c r="J52" i="4"/>
  <c r="P48" i="4"/>
  <c r="Q48" i="4"/>
  <c r="W48" i="4"/>
  <c r="J48" i="4"/>
  <c r="X48" i="4"/>
  <c r="P44" i="4"/>
  <c r="W44" i="4"/>
  <c r="Q44" i="4"/>
  <c r="X44" i="4"/>
  <c r="O44" i="4"/>
  <c r="P40" i="4"/>
  <c r="W40" i="4"/>
  <c r="Q40" i="4"/>
  <c r="X40" i="4"/>
  <c r="O40" i="4"/>
  <c r="P36" i="4"/>
  <c r="W36" i="4"/>
  <c r="Q36" i="4"/>
  <c r="X36" i="4"/>
  <c r="J36" i="4"/>
  <c r="J32" i="4"/>
  <c r="O32" i="4"/>
  <c r="P32" i="4"/>
  <c r="Q32" i="4"/>
  <c r="W32" i="4"/>
  <c r="J28" i="4"/>
  <c r="O28" i="4"/>
  <c r="P28" i="4"/>
  <c r="Q28" i="4"/>
  <c r="W28" i="4"/>
  <c r="J24" i="4"/>
  <c r="O24" i="4"/>
  <c r="P24" i="4"/>
  <c r="Q24" i="4"/>
  <c r="W24" i="4"/>
  <c r="J20" i="4"/>
  <c r="O20" i="4"/>
  <c r="P20" i="4"/>
  <c r="Q20" i="4"/>
  <c r="W20" i="4"/>
  <c r="J12" i="4"/>
  <c r="O12" i="4"/>
  <c r="W12" i="4"/>
  <c r="X12" i="4"/>
  <c r="P12" i="4"/>
  <c r="Q12" i="4"/>
  <c r="P8" i="4"/>
  <c r="Q8" i="4"/>
  <c r="W8" i="4"/>
  <c r="X8" i="4"/>
  <c r="J8" i="4"/>
  <c r="O8" i="4"/>
  <c r="J4" i="4"/>
  <c r="O4" i="4"/>
  <c r="P4" i="4"/>
  <c r="Q4" i="4"/>
  <c r="W4" i="4"/>
  <c r="X4" i="4"/>
  <c r="W96" i="4"/>
  <c r="L96" i="4"/>
  <c r="P93" i="4"/>
  <c r="W92" i="4"/>
  <c r="L92" i="4"/>
  <c r="W88" i="4"/>
  <c r="L88" i="4"/>
  <c r="W84" i="4"/>
  <c r="L84" i="4"/>
  <c r="P81" i="4"/>
  <c r="Q80" i="4"/>
  <c r="X77" i="4"/>
  <c r="Q76" i="4"/>
  <c r="M75" i="4"/>
  <c r="X73" i="4"/>
  <c r="J72" i="4"/>
  <c r="O69" i="4"/>
  <c r="J68" i="4"/>
  <c r="O65" i="4"/>
  <c r="J64" i="4"/>
  <c r="O57" i="4"/>
  <c r="V55" i="4"/>
  <c r="J53" i="4"/>
  <c r="O45" i="4"/>
  <c r="J40" i="4"/>
  <c r="V35" i="4"/>
  <c r="X24" i="4"/>
  <c r="Q5" i="4"/>
  <c r="I76" i="4"/>
  <c r="N76" i="4"/>
  <c r="U76" i="4"/>
  <c r="V76" i="4"/>
  <c r="L76" i="4"/>
  <c r="M76" i="4"/>
  <c r="M60" i="4"/>
  <c r="N60" i="4"/>
  <c r="U60" i="4"/>
  <c r="V60" i="4"/>
  <c r="L52" i="4"/>
  <c r="M52" i="4"/>
  <c r="I52" i="4"/>
  <c r="U52" i="4"/>
  <c r="N52" i="4"/>
  <c r="V52" i="4"/>
  <c r="L44" i="4"/>
  <c r="M44" i="4"/>
  <c r="N44" i="4"/>
  <c r="I44" i="4"/>
  <c r="U44" i="4"/>
  <c r="L36" i="4"/>
  <c r="M36" i="4"/>
  <c r="I36" i="4"/>
  <c r="U36" i="4"/>
  <c r="N36" i="4"/>
  <c r="V36" i="4"/>
  <c r="I28" i="4"/>
  <c r="N28" i="4"/>
  <c r="U28" i="4"/>
  <c r="V28" i="4"/>
  <c r="L28" i="4"/>
  <c r="M28" i="4"/>
  <c r="I24" i="4"/>
  <c r="N24" i="4"/>
  <c r="U24" i="4"/>
  <c r="V24" i="4"/>
  <c r="L24" i="4"/>
  <c r="M24" i="4"/>
  <c r="Q97" i="4"/>
  <c r="X97" i="4"/>
  <c r="Q89" i="4"/>
  <c r="X89" i="4"/>
  <c r="Q85" i="4"/>
  <c r="X85" i="4"/>
  <c r="J49" i="4"/>
  <c r="O49" i="4"/>
  <c r="P49" i="4"/>
  <c r="W49" i="4"/>
  <c r="Q49" i="4"/>
  <c r="P37" i="4"/>
  <c r="W37" i="4"/>
  <c r="Q37" i="4"/>
  <c r="X37" i="4"/>
  <c r="O37" i="4"/>
  <c r="J25" i="4"/>
  <c r="O25" i="4"/>
  <c r="W25" i="4"/>
  <c r="X25" i="4"/>
  <c r="P25" i="4"/>
  <c r="Q25" i="4"/>
  <c r="J13" i="4"/>
  <c r="O13" i="4"/>
  <c r="P13" i="4"/>
  <c r="Q13" i="4"/>
  <c r="W13" i="4"/>
  <c r="X13" i="4"/>
  <c r="J97" i="4"/>
  <c r="J93" i="4"/>
  <c r="J89" i="4"/>
  <c r="J85" i="4"/>
  <c r="U72" i="4"/>
  <c r="U68" i="4"/>
  <c r="X49" i="4"/>
  <c r="M87" i="4"/>
  <c r="I87" i="4"/>
  <c r="N87" i="4"/>
  <c r="U87" i="4"/>
  <c r="I79" i="4"/>
  <c r="N79" i="4"/>
  <c r="U79" i="4"/>
  <c r="V79" i="4"/>
  <c r="L71" i="4"/>
  <c r="M71" i="4"/>
  <c r="I71" i="4"/>
  <c r="U71" i="4"/>
  <c r="V71" i="4"/>
  <c r="L59" i="4"/>
  <c r="M59" i="4"/>
  <c r="I59" i="4"/>
  <c r="U59" i="4"/>
  <c r="V59" i="4"/>
  <c r="O97" i="4"/>
  <c r="V96" i="4"/>
  <c r="J96" i="4"/>
  <c r="O93" i="4"/>
  <c r="V92" i="4"/>
  <c r="J92" i="4"/>
  <c r="O89" i="4"/>
  <c r="V88" i="4"/>
  <c r="J88" i="4"/>
  <c r="O85" i="4"/>
  <c r="V84" i="4"/>
  <c r="J84" i="4"/>
  <c r="O81" i="4"/>
  <c r="P80" i="4"/>
  <c r="L79" i="4"/>
  <c r="W77" i="4"/>
  <c r="P76" i="4"/>
  <c r="L75" i="4"/>
  <c r="W73" i="4"/>
  <c r="I72" i="4"/>
  <c r="I68" i="4"/>
  <c r="I64" i="4"/>
  <c r="N59" i="4"/>
  <c r="J57" i="4"/>
  <c r="U55" i="4"/>
  <c r="O41" i="4"/>
  <c r="J37" i="4"/>
  <c r="X20" i="4"/>
  <c r="M4" i="4"/>
  <c r="I78" i="4"/>
  <c r="N78" i="4"/>
  <c r="U78" i="4"/>
  <c r="V78" i="4"/>
  <c r="I74" i="4"/>
  <c r="N74" i="4"/>
  <c r="U74" i="4"/>
  <c r="V74" i="4"/>
  <c r="I62" i="4"/>
  <c r="N62" i="4"/>
  <c r="U62" i="4"/>
  <c r="V62" i="4"/>
  <c r="L54" i="4"/>
  <c r="M54" i="4"/>
  <c r="I50" i="4"/>
  <c r="N50" i="4"/>
  <c r="U50" i="4"/>
  <c r="V50" i="4"/>
  <c r="L46" i="4"/>
  <c r="M46" i="4"/>
  <c r="L42" i="4"/>
  <c r="M42" i="4"/>
  <c r="L38" i="4"/>
  <c r="M38" i="4"/>
  <c r="L34" i="4"/>
  <c r="M34" i="4"/>
  <c r="I30" i="4"/>
  <c r="N30" i="4"/>
  <c r="U30" i="4"/>
  <c r="V30" i="4"/>
  <c r="I26" i="4"/>
  <c r="N26" i="4"/>
  <c r="U26" i="4"/>
  <c r="V26" i="4"/>
  <c r="I22" i="4"/>
  <c r="N22" i="4"/>
  <c r="U22" i="4"/>
  <c r="V22" i="4"/>
  <c r="I18" i="4"/>
  <c r="N18" i="4"/>
  <c r="U18" i="4"/>
  <c r="V18" i="4"/>
  <c r="I14" i="4"/>
  <c r="N14" i="4"/>
  <c r="U14" i="4"/>
  <c r="V14" i="4"/>
  <c r="L14" i="4"/>
  <c r="M14" i="4"/>
  <c r="I10" i="4"/>
  <c r="N10" i="4"/>
  <c r="U10" i="4"/>
  <c r="V10" i="4"/>
  <c r="L10" i="4"/>
  <c r="M10" i="4"/>
  <c r="I6" i="4"/>
  <c r="N6" i="4"/>
  <c r="U6" i="4"/>
  <c r="V6" i="4"/>
  <c r="J79" i="4"/>
  <c r="O79" i="4"/>
  <c r="J75" i="4"/>
  <c r="O75" i="4"/>
  <c r="P71" i="4"/>
  <c r="W71" i="4"/>
  <c r="Q71" i="4"/>
  <c r="X71" i="4"/>
  <c r="P67" i="4"/>
  <c r="W67" i="4"/>
  <c r="Q67" i="4"/>
  <c r="X67" i="4"/>
  <c r="J63" i="4"/>
  <c r="W63" i="4"/>
  <c r="O63" i="4"/>
  <c r="X63" i="4"/>
  <c r="P59" i="4"/>
  <c r="W59" i="4"/>
  <c r="Q59" i="4"/>
  <c r="X59" i="4"/>
  <c r="P55" i="4"/>
  <c r="W55" i="4"/>
  <c r="Q55" i="4"/>
  <c r="X55" i="4"/>
  <c r="J51" i="4"/>
  <c r="W51" i="4"/>
  <c r="O51" i="4"/>
  <c r="X51" i="4"/>
  <c r="P47" i="4"/>
  <c r="W47" i="4"/>
  <c r="Q47" i="4"/>
  <c r="X47" i="4"/>
  <c r="P43" i="4"/>
  <c r="W43" i="4"/>
  <c r="Q43" i="4"/>
  <c r="X43" i="4"/>
  <c r="P35" i="4"/>
  <c r="W35" i="4"/>
  <c r="Q35" i="4"/>
  <c r="X35" i="4"/>
  <c r="J31" i="4"/>
  <c r="O31" i="4"/>
  <c r="W31" i="4"/>
  <c r="X31" i="4"/>
  <c r="J27" i="4"/>
  <c r="O27" i="4"/>
  <c r="W27" i="4"/>
  <c r="X27" i="4"/>
  <c r="J23" i="4"/>
  <c r="O23" i="4"/>
  <c r="W23" i="4"/>
  <c r="X23" i="4"/>
  <c r="J19" i="4"/>
  <c r="O19" i="4"/>
  <c r="W19" i="4"/>
  <c r="X19" i="4"/>
  <c r="J15" i="4"/>
  <c r="O15" i="4"/>
  <c r="P15" i="4"/>
  <c r="Q15" i="4"/>
  <c r="J11" i="4"/>
  <c r="O11" i="4"/>
  <c r="P11" i="4"/>
  <c r="Q11" i="4"/>
  <c r="J7" i="4"/>
  <c r="W7" i="4"/>
  <c r="O7" i="4"/>
  <c r="X7" i="4"/>
  <c r="P7" i="4"/>
  <c r="Q7" i="4"/>
  <c r="J3" i="4"/>
  <c r="O3" i="4"/>
  <c r="W3" i="4"/>
  <c r="X3" i="4"/>
  <c r="U98" i="4"/>
  <c r="N98" i="4"/>
  <c r="I98" i="4"/>
  <c r="U97" i="4"/>
  <c r="N97" i="4"/>
  <c r="I97" i="4"/>
  <c r="U94" i="4"/>
  <c r="N94" i="4"/>
  <c r="I94" i="4"/>
  <c r="U93" i="4"/>
  <c r="N93" i="4"/>
  <c r="I93" i="4"/>
  <c r="U90" i="4"/>
  <c r="N90" i="4"/>
  <c r="I90" i="4"/>
  <c r="U89" i="4"/>
  <c r="N89" i="4"/>
  <c r="I89" i="4"/>
  <c r="U86" i="4"/>
  <c r="N86" i="4"/>
  <c r="I86" i="4"/>
  <c r="U85" i="4"/>
  <c r="N85" i="4"/>
  <c r="I85" i="4"/>
  <c r="U82" i="4"/>
  <c r="N82" i="4"/>
  <c r="I82" i="4"/>
  <c r="U81" i="4"/>
  <c r="N81" i="4"/>
  <c r="Q79" i="4"/>
  <c r="M78" i="4"/>
  <c r="Q75" i="4"/>
  <c r="M74" i="4"/>
  <c r="J71" i="4"/>
  <c r="J67" i="4"/>
  <c r="Q63" i="4"/>
  <c r="J59" i="4"/>
  <c r="O55" i="4"/>
  <c r="V54" i="4"/>
  <c r="M50" i="4"/>
  <c r="J47" i="4"/>
  <c r="J43" i="4"/>
  <c r="V38" i="4"/>
  <c r="O35" i="4"/>
  <c r="V34" i="4"/>
  <c r="M6" i="4"/>
  <c r="Q3" i="4"/>
  <c r="L70" i="4"/>
  <c r="M70" i="4"/>
  <c r="L66" i="4"/>
  <c r="M66" i="4"/>
  <c r="I77" i="4"/>
  <c r="N77" i="4"/>
  <c r="U77" i="4"/>
  <c r="V77" i="4"/>
  <c r="L69" i="4"/>
  <c r="M69" i="4"/>
  <c r="L65" i="4"/>
  <c r="M65" i="4"/>
  <c r="L53" i="4"/>
  <c r="M53" i="4"/>
  <c r="I49" i="4"/>
  <c r="N49" i="4"/>
  <c r="U49" i="4"/>
  <c r="V49" i="4"/>
  <c r="L45" i="4"/>
  <c r="M45" i="4"/>
  <c r="L41" i="4"/>
  <c r="M41" i="4"/>
  <c r="L37" i="4"/>
  <c r="M37" i="4"/>
  <c r="I33" i="4"/>
  <c r="L33" i="4"/>
  <c r="M33" i="4"/>
  <c r="I29" i="4"/>
  <c r="N29" i="4"/>
  <c r="U29" i="4"/>
  <c r="V29" i="4"/>
  <c r="L29" i="4"/>
  <c r="M29" i="4"/>
  <c r="I25" i="4"/>
  <c r="N25" i="4"/>
  <c r="U25" i="4"/>
  <c r="V25" i="4"/>
  <c r="L25" i="4"/>
  <c r="M25" i="4"/>
  <c r="I21" i="4"/>
  <c r="N21" i="4"/>
  <c r="U21" i="4"/>
  <c r="V21" i="4"/>
  <c r="L21" i="4"/>
  <c r="M21" i="4"/>
  <c r="I17" i="4"/>
  <c r="N17" i="4"/>
  <c r="U17" i="4"/>
  <c r="V17" i="4"/>
  <c r="L17" i="4"/>
  <c r="M17" i="4"/>
  <c r="I13" i="4"/>
  <c r="N13" i="4"/>
  <c r="U13" i="4"/>
  <c r="V13" i="4"/>
  <c r="I9" i="4"/>
  <c r="N9" i="4"/>
  <c r="U9" i="4"/>
  <c r="V9" i="4"/>
  <c r="I5" i="4"/>
  <c r="N5" i="4"/>
  <c r="U5" i="4"/>
  <c r="V5" i="4"/>
  <c r="L5" i="4"/>
  <c r="M5" i="4"/>
  <c r="J78" i="4"/>
  <c r="O78" i="4"/>
  <c r="J74" i="4"/>
  <c r="O74" i="4"/>
  <c r="P70" i="4"/>
  <c r="W70" i="4"/>
  <c r="Q70" i="4"/>
  <c r="X70" i="4"/>
  <c r="P66" i="4"/>
  <c r="W66" i="4"/>
  <c r="Q66" i="4"/>
  <c r="X66" i="4"/>
  <c r="J62" i="4"/>
  <c r="O62" i="4"/>
  <c r="J58" i="4"/>
  <c r="W58" i="4"/>
  <c r="O58" i="4"/>
  <c r="X58" i="4"/>
  <c r="P54" i="4"/>
  <c r="W54" i="4"/>
  <c r="Q54" i="4"/>
  <c r="X54" i="4"/>
  <c r="J50" i="4"/>
  <c r="O50" i="4"/>
  <c r="P46" i="4"/>
  <c r="W46" i="4"/>
  <c r="Q46" i="4"/>
  <c r="X46" i="4"/>
  <c r="P42" i="4"/>
  <c r="W42" i="4"/>
  <c r="Q42" i="4"/>
  <c r="X42" i="4"/>
  <c r="P38" i="4"/>
  <c r="W38" i="4"/>
  <c r="Q38" i="4"/>
  <c r="X38" i="4"/>
  <c r="P34" i="4"/>
  <c r="W34" i="4"/>
  <c r="Q34" i="4"/>
  <c r="X34" i="4"/>
  <c r="J30" i="4"/>
  <c r="O30" i="4"/>
  <c r="P30" i="4"/>
  <c r="Q30" i="4"/>
  <c r="J26" i="4"/>
  <c r="O26" i="4"/>
  <c r="P26" i="4"/>
  <c r="Q26" i="4"/>
  <c r="J22" i="4"/>
  <c r="O22" i="4"/>
  <c r="P22" i="4"/>
  <c r="Q22" i="4"/>
  <c r="J18" i="4"/>
  <c r="O18" i="4"/>
  <c r="P18" i="4"/>
  <c r="Q18" i="4"/>
  <c r="J14" i="4"/>
  <c r="O14" i="4"/>
  <c r="W14" i="4"/>
  <c r="X14" i="4"/>
  <c r="J10" i="4"/>
  <c r="O10" i="4"/>
  <c r="W10" i="4"/>
  <c r="X10" i="4"/>
  <c r="J6" i="4"/>
  <c r="O6" i="4"/>
  <c r="P6" i="4"/>
  <c r="Q6" i="4"/>
  <c r="X98" i="4"/>
  <c r="X95" i="4"/>
  <c r="X94" i="4"/>
  <c r="X91" i="4"/>
  <c r="X90" i="4"/>
  <c r="X87" i="4"/>
  <c r="X86" i="4"/>
  <c r="X83" i="4"/>
  <c r="X82" i="4"/>
  <c r="P79" i="4"/>
  <c r="W78" i="4"/>
  <c r="L78" i="4"/>
  <c r="P75" i="4"/>
  <c r="W74" i="4"/>
  <c r="L74" i="4"/>
  <c r="N70" i="4"/>
  <c r="U69" i="4"/>
  <c r="I69" i="4"/>
  <c r="N66" i="4"/>
  <c r="U65" i="4"/>
  <c r="I65" i="4"/>
  <c r="P63" i="4"/>
  <c r="P62" i="4"/>
  <c r="U54" i="4"/>
  <c r="I54" i="4"/>
  <c r="N53" i="4"/>
  <c r="W50" i="4"/>
  <c r="L50" i="4"/>
  <c r="N46" i="4"/>
  <c r="U45" i="4"/>
  <c r="I45" i="4"/>
  <c r="N42" i="4"/>
  <c r="U41" i="4"/>
  <c r="I41" i="4"/>
  <c r="U38" i="4"/>
  <c r="I38" i="4"/>
  <c r="N37" i="4"/>
  <c r="U34" i="4"/>
  <c r="I34" i="4"/>
  <c r="N33" i="4"/>
  <c r="W30" i="4"/>
  <c r="W26" i="4"/>
  <c r="W22" i="4"/>
  <c r="W18" i="4"/>
  <c r="L6" i="4"/>
  <c r="P3" i="4"/>
  <c r="V63" i="4"/>
  <c r="U63" i="4"/>
  <c r="N63" i="4"/>
  <c r="I63" i="4"/>
  <c r="M63" i="4"/>
  <c r="X61" i="4"/>
  <c r="O61" i="4"/>
  <c r="W61" i="4"/>
  <c r="J61" i="4"/>
  <c r="Q61" i="4"/>
  <c r="V61" i="4"/>
  <c r="U61" i="4"/>
  <c r="N61" i="4"/>
  <c r="I61" i="4"/>
  <c r="M61" i="4"/>
  <c r="X60" i="4"/>
  <c r="Q60" i="4"/>
  <c r="W60" i="4"/>
  <c r="P60" i="4"/>
  <c r="J60" i="4"/>
  <c r="Q16" i="4"/>
  <c r="P16" i="4"/>
  <c r="X16" i="4"/>
  <c r="O16" i="4"/>
  <c r="W16" i="4"/>
  <c r="V48" i="4"/>
  <c r="U48" i="4"/>
  <c r="N48" i="4"/>
  <c r="I48" i="4"/>
  <c r="M48" i="4"/>
  <c r="V51" i="4"/>
  <c r="U51" i="4"/>
  <c r="N51" i="4"/>
  <c r="I51" i="4"/>
  <c r="M51" i="4"/>
  <c r="V58" i="4"/>
  <c r="V57" i="4"/>
  <c r="U58" i="4"/>
  <c r="N58" i="4"/>
  <c r="I58" i="4"/>
  <c r="U57" i="4"/>
  <c r="N57" i="4"/>
  <c r="I57" i="4"/>
  <c r="M58" i="4"/>
  <c r="M57" i="4"/>
  <c r="M16" i="4"/>
  <c r="L16" i="4"/>
  <c r="V16" i="4"/>
  <c r="U16" i="4"/>
  <c r="N16" i="4"/>
  <c r="V8" i="4"/>
  <c r="U8" i="4"/>
  <c r="N8" i="4"/>
  <c r="I8" i="4"/>
  <c r="M8" i="4"/>
  <c r="V73" i="4"/>
  <c r="M73" i="4"/>
  <c r="U73" i="4"/>
  <c r="N73" i="4"/>
  <c r="I73" i="4"/>
  <c r="M7" i="4"/>
  <c r="L7" i="4"/>
  <c r="V7" i="4"/>
  <c r="U7" i="4"/>
  <c r="N7" i="4"/>
  <c r="O39" i="4"/>
  <c r="Q39" i="4"/>
  <c r="P39" i="4"/>
  <c r="X39" i="4"/>
  <c r="W39" i="4"/>
  <c r="M39" i="4"/>
  <c r="L39" i="4"/>
  <c r="V39" i="4"/>
  <c r="U39" i="4"/>
  <c r="N39" i="4"/>
</calcChain>
</file>

<file path=xl/sharedStrings.xml><?xml version="1.0" encoding="utf-8"?>
<sst xmlns="http://schemas.openxmlformats.org/spreadsheetml/2006/main" count="884" uniqueCount="371">
  <si>
    <t>typ_18599</t>
  </si>
  <si>
    <t>nr_18599</t>
  </si>
  <si>
    <t>Bettenzimmer</t>
  </si>
  <si>
    <t>Sterne-Hotel</t>
  </si>
  <si>
    <t>Mensa/Kantine</t>
  </si>
  <si>
    <t>2.8</t>
  </si>
  <si>
    <t>7.1</t>
  </si>
  <si>
    <t>Gebäude für Forschung und Hochschullehre</t>
  </si>
  <si>
    <t>Gebäude für Kultur und Freizeit</t>
  </si>
  <si>
    <t>Freizeit-, Gemeinschafts-, Bürgerhaus</t>
  </si>
  <si>
    <t>Spielkasino, -bank, -halle</t>
  </si>
  <si>
    <t>Sportgebäude</t>
  </si>
  <si>
    <t>Schwimmhalle</t>
  </si>
  <si>
    <t>Fitnessstudio</t>
  </si>
  <si>
    <t>Fitnessraum</t>
  </si>
  <si>
    <t>Gebäude für Gesundheit und Pflege</t>
  </si>
  <si>
    <t>22.2</t>
  </si>
  <si>
    <t>Rechenzentrum</t>
  </si>
  <si>
    <t>Handelsgebäude</t>
  </si>
  <si>
    <t>Schalterhalle</t>
  </si>
  <si>
    <t>1.5</t>
  </si>
  <si>
    <t>9.5</t>
  </si>
  <si>
    <t>Markthalle</t>
  </si>
  <si>
    <t>Messehalle</t>
  </si>
  <si>
    <t>Verkehrsgebäude</t>
  </si>
  <si>
    <t>0.5</t>
  </si>
  <si>
    <t>Technikgebäude (Ver- und Entsorgung)</t>
  </si>
  <si>
    <t>Gebäude für Wasserversorgung</t>
  </si>
  <si>
    <t>Gebäude für Abwasserbehandlung</t>
  </si>
  <si>
    <t>Gebäude für Abfallbehandlung</t>
  </si>
  <si>
    <t>4.2</t>
  </si>
  <si>
    <t>18.8</t>
  </si>
  <si>
    <t>4.1</t>
  </si>
  <si>
    <t>22.3</t>
  </si>
  <si>
    <t>gain_per_person_18599</t>
  </si>
  <si>
    <t>appliance_gains_tief_18599</t>
  </si>
  <si>
    <t>appliance_gains_mittel_18599</t>
  </si>
  <si>
    <t>appliance_gains_hoch_18599</t>
  </si>
  <si>
    <t>typ_sia2024</t>
  </si>
  <si>
    <t>nr_sia2024</t>
  </si>
  <si>
    <t>gain_per_person_sia2024</t>
  </si>
  <si>
    <t>appliance_gains_standard_sia2024</t>
  </si>
  <si>
    <t>appliance_gains_bestand_sia2024</t>
  </si>
  <si>
    <t>Hotelzimmer</t>
  </si>
  <si>
    <t>2.1</t>
  </si>
  <si>
    <t>Restaurant</t>
  </si>
  <si>
    <t>6.1</t>
  </si>
  <si>
    <t>Selbstbedienungsrestaurant</t>
  </si>
  <si>
    <t>6.2</t>
  </si>
  <si>
    <t>Großraumbüro</t>
  </si>
  <si>
    <t>3.2</t>
  </si>
  <si>
    <t>Einzel-, Gruppenbüro</t>
  </si>
  <si>
    <t>3.1</t>
  </si>
  <si>
    <t>Schulzimmer</t>
  </si>
  <si>
    <t>Hörsaal</t>
  </si>
  <si>
    <t>4.4</t>
  </si>
  <si>
    <t>Bibliothek</t>
  </si>
  <si>
    <t>4.3</t>
  </si>
  <si>
    <t>Ausstellungshalle</t>
  </si>
  <si>
    <t>7.3</t>
  </si>
  <si>
    <t>Vorstellungsraum</t>
  </si>
  <si>
    <t>Nebenraum</t>
  </si>
  <si>
    <t>12.4</t>
  </si>
  <si>
    <t>Turnhalle</t>
  </si>
  <si>
    <t>11.1</t>
  </si>
  <si>
    <t>11.3</t>
  </si>
  <si>
    <t>11.2</t>
  </si>
  <si>
    <t>Garderobe, Dusche</t>
  </si>
  <si>
    <t>12.8</t>
  </si>
  <si>
    <t>Behandlungsraum</t>
  </si>
  <si>
    <t>8.3</t>
  </si>
  <si>
    <t>Produktion (grobe Arbeit)</t>
  </si>
  <si>
    <t>9.1</t>
  </si>
  <si>
    <t>Lagerhalle</t>
  </si>
  <si>
    <t>10.1</t>
  </si>
  <si>
    <t>Serverraum</t>
  </si>
  <si>
    <t>12.12</t>
  </si>
  <si>
    <t>Produktion (feine Arbeit)</t>
  </si>
  <si>
    <t>9.2</t>
  </si>
  <si>
    <t>Lebensmittelverkauf</t>
  </si>
  <si>
    <t>5.1</t>
  </si>
  <si>
    <t>Verkauf Möbel, Bau, Garten</t>
  </si>
  <si>
    <t>5.3</t>
  </si>
  <si>
    <t>Fachgeschäft</t>
  </si>
  <si>
    <t>5.2</t>
  </si>
  <si>
    <t>Parkhaus</t>
  </si>
  <si>
    <t>12.9</t>
  </si>
  <si>
    <t>Schalterhalle, Empfang</t>
  </si>
  <si>
    <t>3.4</t>
  </si>
  <si>
    <t>Nr.</t>
  </si>
  <si>
    <t>Einzelbüro</t>
  </si>
  <si>
    <t>2</t>
  </si>
  <si>
    <t>Gruppenbüro (2 bis 6 Arbeitsplätze)</t>
  </si>
  <si>
    <t>3</t>
  </si>
  <si>
    <t>Großraumbüro (ab 7 Arbeitsplätze)</t>
  </si>
  <si>
    <t>4</t>
  </si>
  <si>
    <t>Besprechung/Sitzungszimmer/Seminar</t>
  </si>
  <si>
    <t>5</t>
  </si>
  <si>
    <t>6</t>
  </si>
  <si>
    <t>Einzelhandel/Kaufhaus</t>
  </si>
  <si>
    <t>7</t>
  </si>
  <si>
    <t>Einzelhandel/Kaufhaus (Lebensmittelabteilung mit Kühlprodukten)</t>
  </si>
  <si>
    <t>8</t>
  </si>
  <si>
    <t>9</t>
  </si>
  <si>
    <t>Hörsaal, Auditorium</t>
  </si>
  <si>
    <t>10</t>
  </si>
  <si>
    <t>Bettenzimmer (Zweibettzimmer im Krankenhaus, Pflegeheim)</t>
  </si>
  <si>
    <t>11</t>
  </si>
  <si>
    <t>Hotelzimmer (Doppelzimmer)</t>
  </si>
  <si>
    <t>12</t>
  </si>
  <si>
    <t>Bezeichnung</t>
  </si>
  <si>
    <t>Kantine (Kantine)</t>
  </si>
  <si>
    <t>Kantine (Restaurant)</t>
  </si>
  <si>
    <t>13</t>
  </si>
  <si>
    <t>14</t>
  </si>
  <si>
    <t>Küche in Nichtwohngebäuden</t>
  </si>
  <si>
    <t>15</t>
  </si>
  <si>
    <t>Küche (Vorbereitung, Lager)</t>
  </si>
  <si>
    <t>16</t>
  </si>
  <si>
    <t>WC und Sanitärräume in Nichtwohngebäuden</t>
  </si>
  <si>
    <t>17</t>
  </si>
  <si>
    <t>Sonstige Aufenthaltsräume (Pausenraum, Wartezimmer)</t>
  </si>
  <si>
    <t>18</t>
  </si>
  <si>
    <t>Sonstige Aufenthaltsräume (Garderobe, Teeküche, Lager, Archiv, Flur)</t>
  </si>
  <si>
    <t>19</t>
  </si>
  <si>
    <t>Verkehrsfläche (Flur)</t>
  </si>
  <si>
    <t>20</t>
  </si>
  <si>
    <t>Lager (Technik, Archiv)</t>
  </si>
  <si>
    <t>21</t>
  </si>
  <si>
    <t>22.1</t>
  </si>
  <si>
    <t>Gewerbliche und industrielle Hallen (schwere Arbeit, stehende Tätigkeit)</t>
  </si>
  <si>
    <t>Gewerbliche und industrielle Hallen (mittelschwere Arbeit, überw. stehende Tätigkeit)</t>
  </si>
  <si>
    <t>Gewerbliche und industrielle Hallen (leichte Arbeit, überw. sitzende Tätigkeit)</t>
  </si>
  <si>
    <t>23</t>
  </si>
  <si>
    <t>Zuschauerbereich (Theater, Veranstaltungsbauten)</t>
  </si>
  <si>
    <t>24</t>
  </si>
  <si>
    <t>Theater (Foyer)</t>
  </si>
  <si>
    <t>25</t>
  </si>
  <si>
    <t>26</t>
  </si>
  <si>
    <t>Messe/Kongress</t>
  </si>
  <si>
    <t>27</t>
  </si>
  <si>
    <t>Ausstellungsräume, Museum</t>
  </si>
  <si>
    <t>28</t>
  </si>
  <si>
    <t>Bibliothek - Lesesaal</t>
  </si>
  <si>
    <t>Bibliothek - Freihandbereich</t>
  </si>
  <si>
    <t>Bibliothek - Magazin und Depot</t>
  </si>
  <si>
    <t>Turnhalle (ohne Zuschauerbereich)</t>
  </si>
  <si>
    <t>29</t>
  </si>
  <si>
    <t>30</t>
  </si>
  <si>
    <t>31</t>
  </si>
  <si>
    <t>32</t>
  </si>
  <si>
    <t>Parkhaus (Büro- und Privatnutzung)</t>
  </si>
  <si>
    <t>Parkhaus (öffentliche Nutzung)</t>
  </si>
  <si>
    <t>Saunabereich</t>
  </si>
  <si>
    <t>Labor</t>
  </si>
  <si>
    <t>Fitnessraum (Untersuchungs- und Behandlungsräume)</t>
  </si>
  <si>
    <t>Spezialpflegebereiche (Aufwachräume, Intensivmedizin, Spezialpflege, Frühgeborene)</t>
  </si>
  <si>
    <t>Flure des allgmeinen Pflegebereichs</t>
  </si>
  <si>
    <t>Arztpraxen und theratpeutische Praxen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</si>
  <si>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</si>
  <si>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</si>
  <si>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</si>
  <si>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</si>
  <si>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</si>
  <si>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</si>
  <si>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</si>
  <si>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</si>
  <si>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</si>
  <si>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Wärmequelle Personen [W/p]</t>
  </si>
  <si>
    <t>Arbeitshilfen tief [W/m²]</t>
  </si>
  <si>
    <t>Arbeitshilfen mittel [W/m²]</t>
  </si>
  <si>
    <t>Arbeitshilfen hoch [W/m²]</t>
  </si>
  <si>
    <t>1</t>
  </si>
  <si>
    <t>-12</t>
  </si>
  <si>
    <t>-10</t>
  </si>
  <si>
    <t>-8</t>
  </si>
  <si>
    <t>60</t>
  </si>
  <si>
    <t>70</t>
  </si>
  <si>
    <t>80</t>
  </si>
  <si>
    <t>200</t>
  </si>
  <si>
    <t>300</t>
  </si>
  <si>
    <t>400</t>
  </si>
  <si>
    <t>0</t>
  </si>
  <si>
    <t>50</t>
  </si>
  <si>
    <t>150</t>
  </si>
  <si>
    <t>500</t>
  </si>
  <si>
    <t>120</t>
  </si>
  <si>
    <t>45</t>
  </si>
  <si>
    <t>100</t>
  </si>
  <si>
    <t>Bühne (Theater, Veranstaltungsbauten)</t>
  </si>
  <si>
    <t>125</t>
  </si>
  <si>
    <t>110</t>
  </si>
  <si>
    <t>90</t>
  </si>
  <si>
    <t>63</t>
  </si>
  <si>
    <t>2.2</t>
  </si>
  <si>
    <t>3.3</t>
  </si>
  <si>
    <t>4.5</t>
  </si>
  <si>
    <t>6.3</t>
  </si>
  <si>
    <t>6.4</t>
  </si>
  <si>
    <t>7.2</t>
  </si>
  <si>
    <t>8.1</t>
  </si>
  <si>
    <t>8.2</t>
  </si>
  <si>
    <t>9.3</t>
  </si>
  <si>
    <t>12.1</t>
  </si>
  <si>
    <t>12.2</t>
  </si>
  <si>
    <t>12.3</t>
  </si>
  <si>
    <t>12.5</t>
  </si>
  <si>
    <t>12.6</t>
  </si>
  <si>
    <t>12.7</t>
  </si>
  <si>
    <t>12.10</t>
  </si>
  <si>
    <t>12.11</t>
  </si>
  <si>
    <t>Gebäudekategorie</t>
  </si>
  <si>
    <t>Empfang, Lobby</t>
  </si>
  <si>
    <t>Sitzungszimmer</t>
  </si>
  <si>
    <t>Lehrerzimmer</t>
  </si>
  <si>
    <t>Schulfachraum</t>
  </si>
  <si>
    <t>Küche zu Restaurant</t>
  </si>
  <si>
    <t>Küche zu Selbstbedienungsrestaurant</t>
  </si>
  <si>
    <t>Mehrzweckhalle</t>
  </si>
  <si>
    <t>Stationszimmer</t>
  </si>
  <si>
    <t>Laborraum</t>
  </si>
  <si>
    <t>Verkehrsfläche</t>
  </si>
  <si>
    <t>Verkehrsfläche 24h</t>
  </si>
  <si>
    <t>Treppenhaus</t>
  </si>
  <si>
    <t>Küche, Teeküche</t>
  </si>
  <si>
    <t>WC, Bad, Dusche</t>
  </si>
  <si>
    <t>WC</t>
  </si>
  <si>
    <t>Wasch- und Trockenraum</t>
  </si>
  <si>
    <t>Kühlraum</t>
  </si>
  <si>
    <t>Hotel</t>
  </si>
  <si>
    <t>Verwaltung</t>
  </si>
  <si>
    <t>Schulen</t>
  </si>
  <si>
    <t>Verkauf</t>
  </si>
  <si>
    <t>Versammlungslokale</t>
  </si>
  <si>
    <t>Spitäler</t>
  </si>
  <si>
    <t>Industrie</t>
  </si>
  <si>
    <t>Lager</t>
  </si>
  <si>
    <t>Sportbauten</t>
  </si>
  <si>
    <t>zugeordnete Nutzungen</t>
  </si>
  <si>
    <t>Arbeitshilfen Standard [W/m²]</t>
  </si>
  <si>
    <t>Arbeitshilfen Zielwert [W/m²]</t>
  </si>
  <si>
    <t>Arbeitshilfen Bestand [W/m²]</t>
  </si>
  <si>
    <t>Klassenzimmer (Schule), Gruppenraum (Kindergarten)</t>
  </si>
  <si>
    <t>appliance_gains_ziel_sia2024</t>
  </si>
  <si>
    <t>Büro-, Verwaltungs- oder Amtsgebäude</t>
  </si>
  <si>
    <t>Schule, Kindertagesstätte und sonstiges Betreuungsgebäude</t>
  </si>
  <si>
    <t>Produktions-, Werkstatt-, Lager- oder Betriebsgebäude</t>
  </si>
  <si>
    <t>Beherbergungs- oder Unterbringungsgebäude, Gastronomie- oder Verpflegungsgebäude</t>
  </si>
  <si>
    <t>Parlaments- oder Gerichtsgebäude</t>
  </si>
  <si>
    <t>Rundfunk- oder Fernsehanstalt</t>
  </si>
  <si>
    <t>Bürogebäude</t>
  </si>
  <si>
    <t>Öffentliches Verwaltungs- oder Ämtergebäude, Rathaus</t>
  </si>
  <si>
    <t>Polizeipräsidium oder -station, Bürogebäude sonstiger Bereitschaftsdienste</t>
  </si>
  <si>
    <t>Institutsgebäude für Forschung und Lehre (Labor mit geringen Anforderungen an die Raumlufttechnik, z.B. Medizin, Informatik)</t>
  </si>
  <si>
    <t>Institutsgebäude für Forschung und Lehre (Labor mit hohen Anforderungen an die Raumlufttechnik, z.B. Chemie, Tierforschung)</t>
  </si>
  <si>
    <t>Bürogebäude von Forschungsanstalten ohne Lehre</t>
  </si>
  <si>
    <t>Laborgebäude von Forschungsanstalten und Unternehmen (Labor mit geringen Anforderungen an die Raumlufttechnik)</t>
  </si>
  <si>
    <t>Laborgebäude von Forschungsanstalten und Unternehmen (Labor mit hohen Anforderungen an die Raumlufttechnik)</t>
  </si>
  <si>
    <t>Hochschulklinik</t>
  </si>
  <si>
    <t>Krankenhaus</t>
  </si>
  <si>
    <t>Gebäude für teilstationäre Versorgung (z.B. Tagesklinik, Geburtshaus)</t>
  </si>
  <si>
    <t>Rehabilitation</t>
  </si>
  <si>
    <t>Kur und Genesung</t>
  </si>
  <si>
    <t>Medizinisches Versorgungszentrum, Ärztehaus</t>
  </si>
  <si>
    <t>Arztpraxis</t>
  </si>
  <si>
    <t>Notfallpraxis</t>
  </si>
  <si>
    <t>Altenheim/Altenpflegeheim (ohne eigene Haushaltsführung der Bewohner/innen)</t>
  </si>
  <si>
    <t>Pflegeheim für Behinderte (ohne eigene Haushaltsführung der Bewohner/innen)</t>
  </si>
  <si>
    <t>Psychiatrische Pflegeheim (ohne eigene Haushaltsführung der Bewohner/innen)</t>
  </si>
  <si>
    <t>Tagespflegeeinrichtung</t>
  </si>
  <si>
    <t>Hospiz</t>
  </si>
  <si>
    <t>Schule, allgemein</t>
  </si>
  <si>
    <t>Ganztagesschule</t>
  </si>
  <si>
    <t>Internatsschule</t>
  </si>
  <si>
    <t>Förder-, Sonderschule</t>
  </si>
  <si>
    <t>Berufsbildende Schule (gewerblich, wirtschaftlich)</t>
  </si>
  <si>
    <t>Berufsbildende Schule (mit höherer technischer Ausstattung, z.B. Werkstätten)</t>
  </si>
  <si>
    <t>Berufsakademie, Berufskolleg</t>
  </si>
  <si>
    <t>Bildungszentrum</t>
  </si>
  <si>
    <t>Ausbildungsstätte</t>
  </si>
  <si>
    <t>Volkshochschule</t>
  </si>
  <si>
    <t>KiTa</t>
  </si>
  <si>
    <t>KiTa mit Küche</t>
  </si>
  <si>
    <t>Studentenhaus</t>
  </si>
  <si>
    <t>Altentagesstätte</t>
  </si>
  <si>
    <t>Jugendzentrum</t>
  </si>
  <si>
    <t>Bibliothek/Archiv (einfach, z.B. Stadtbücherei)</t>
  </si>
  <si>
    <t>Bibliothek/Archiv (höher technisiert, z.B. Unibibliothek)</t>
  </si>
  <si>
    <t>Ausstellungsgebäude (Museen, Galerien)</t>
  </si>
  <si>
    <t>Oper, Theater und Veranstaltungshalle, Kino, Konferenzzentrum</t>
  </si>
  <si>
    <t>Einfeldhalle</t>
  </si>
  <si>
    <t>Mehrfeldhalle</t>
  </si>
  <si>
    <t>Gymnastikhalle</t>
  </si>
  <si>
    <t>Sporthalle mit Mehrzwecknutzung</t>
  </si>
  <si>
    <t>Hallenbad</t>
  </si>
  <si>
    <t>Spaß- und Freizeitbad</t>
  </si>
  <si>
    <t>Thermalbad</t>
  </si>
  <si>
    <t>Hallenbad mit Freibadanlage</t>
  </si>
  <si>
    <t>Kegelbahn/Bowling</t>
  </si>
  <si>
    <t>Schießstand</t>
  </si>
  <si>
    <t>Raumschießanlage</t>
  </si>
  <si>
    <t>Reithalle</t>
  </si>
  <si>
    <t>Eissporthalle</t>
  </si>
  <si>
    <t>Tennishalle</t>
  </si>
  <si>
    <t>Gebäude für Sportaußenanlage (Tribünen-, Umkleidegebäude)</t>
  </si>
  <si>
    <t>Herberge, Ferienheim, Ferienhaus, Hotel/Pension einfach</t>
  </si>
  <si>
    <t>Ausschankwirtschaft</t>
  </si>
  <si>
    <t>Speisegaststätte (einfach)</t>
  </si>
  <si>
    <t>Restaurant (gehoben)</t>
  </si>
  <si>
    <t>Gemeinschaftsunterkunft (z.B. Flüchtlingsheim, Kaserne, Kloster)</t>
  </si>
  <si>
    <t>Gebäude für industrielle Produktion und Verarbeitung (z.B. Chemie, Metall, Textilien, Lebensmittel, Holz)</t>
  </si>
  <si>
    <t>Werkstattgebäude allgemein (z.B. von Handwerksbetrieben wie Klempner, Schlosser, Schreiner)</t>
  </si>
  <si>
    <t>Werkstattgebäude zur Wartung, Instandsetzung, Reparatur (von z.B. Kfz)</t>
  </si>
  <si>
    <t>Logistikimmobilie mit Toren bzw. Rampen</t>
  </si>
  <si>
    <t>Sonstiges Gebäude für Lagerung</t>
  </si>
  <si>
    <t>Feuerwehr, Rettungswache</t>
  </si>
  <si>
    <t>Straßenmeisterei, Bauhof u.ä.</t>
  </si>
  <si>
    <t>Fuhrpark</t>
  </si>
  <si>
    <t>zentrales Wirtschaftsgebäude (z.B. Zentralküche oder -wäscherei in Krankenhaus)</t>
  </si>
  <si>
    <t>Handelsgebäude des Non-Food-Einzel- und -Großhandels</t>
  </si>
  <si>
    <t>Einkaufszentrum, Shopping-Mall</t>
  </si>
  <si>
    <t>von Dienstleistern (z.B. Frisör, Kosmetik) genutztes Ladengebäude</t>
  </si>
  <si>
    <t>Kraftwerk (Gesamtanlage für Energieversorgung)</t>
  </si>
  <si>
    <t>Gebäude für Lenkung, Steuerung, Überwachung und Nachrichtenübermittlung (z.B. Stellwerk, Leuchtturm)</t>
  </si>
  <si>
    <t>Gebäude für Energieversorgung (z.B. Fernheizwerk, Tankstelle)</t>
  </si>
  <si>
    <t>Park-/Garagengebäude, Fahrradparkhaus</t>
  </si>
  <si>
    <t>Halle für sonstige Verkehrsmittel (z.B. für Flugzeuge, Schienenfahrzeuge)</t>
  </si>
  <si>
    <t>Gebäude zur Pflege von Fahrzeugen (z.B. Waschstraße)</t>
  </si>
  <si>
    <t>Empfangsgebäude (Bahnhof, Busbahnhof, Flughafen, Schiffsterminal)</t>
  </si>
  <si>
    <t>Lagerhallen, Logistikhallen</t>
  </si>
  <si>
    <t>Handelsgebäude des Lebensmitteleinzel- und -großhandels</t>
  </si>
  <si>
    <t>hk_geb</t>
  </si>
  <si>
    <t>uk_geb</t>
  </si>
  <si>
    <t>Verwaltungs- oder Seminargebäude</t>
  </si>
  <si>
    <t>Hörsaalgebäude</t>
  </si>
  <si>
    <t>Gebäude für gewerbliche Produktion und Verarbeitung (z.B. Brauerei, Molkerei, Schlachthof)</t>
  </si>
  <si>
    <t>Sonstige Gebäudefunktion</t>
  </si>
  <si>
    <t>Nutzungszeit Start</t>
  </si>
  <si>
    <t>Nutzungszeit Ende</t>
  </si>
  <si>
    <t>usage_start_18599</t>
  </si>
  <si>
    <t>usage_end_18599</t>
  </si>
  <si>
    <t>usage_start_sia2024</t>
  </si>
  <si>
    <t>usage_end_sia2024</t>
  </si>
  <si>
    <t>Wohnen</t>
  </si>
  <si>
    <t>Wohnen MFH</t>
  </si>
  <si>
    <t>Wohnen EFH</t>
  </si>
  <si>
    <t>1.1</t>
  </si>
  <si>
    <t>1.2</t>
  </si>
  <si>
    <t>Wohnen (EFH)</t>
  </si>
  <si>
    <t>Wohnen (MFH)</t>
  </si>
  <si>
    <t>3.7</t>
  </si>
  <si>
    <t>4.8</t>
  </si>
  <si>
    <t>5.6</t>
  </si>
  <si>
    <t>8.4</t>
  </si>
  <si>
    <t>10.8</t>
  </si>
  <si>
    <t>9.6</t>
  </si>
  <si>
    <t>Außenluftvolumenstrom</t>
  </si>
  <si>
    <t>0.6</t>
  </si>
  <si>
    <t>2.4</t>
  </si>
  <si>
    <t>2.6</t>
  </si>
  <si>
    <t>3.6</t>
  </si>
  <si>
    <t>2.5</t>
  </si>
  <si>
    <t>3.8</t>
  </si>
  <si>
    <t>typ_mza</t>
  </si>
  <si>
    <t>nr_mza</t>
  </si>
  <si>
    <t>gain_per_person_mza</t>
  </si>
  <si>
    <t>appliance_gains_tief_mza</t>
  </si>
  <si>
    <t>appliance_gains_mittel_mza</t>
  </si>
  <si>
    <t>appliance_gains_hoch_mza</t>
  </si>
  <si>
    <t>usage_start_mza</t>
  </si>
  <si>
    <t>usage_end_mza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</si>
</sst>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\ _€_-;\-* #,##0.00\ _€_-;_-* &quot;-&quot;??\ _€_-;_-@_-"/>
    <numFmt numFmtId="165" formatCode="_(&quot;€&quot;* #,##0.00_);_(&quot;€&quot;* \(#,##0.00\);_(&quot;€&quot;* &quot;-&quot;??_);_(@_)"/>
    <numFmt numFmtId="166" formatCode="0.0"/>
    <numFmt numFmtId="167" formatCode="0.000"/>
    <numFmt numFmtId="168" formatCode="_-* #,##0.00\ [$€-1]_-;\-* #,##0.00\ [$€-1]_-;_-* &quot;-&quot;??\ [$€-1]_-"/>
  </numFmts>
  <fonts count="2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8"/>
      <color indexed="8"/>
      <name val="Arial"/>
      <family val="2"/>
    </font>
    <font>
      <sz val="8"/>
      <color indexed="57"/>
      <name val="Tahoma"/>
      <family val="2"/>
    </font>
    <font>
      <sz val="8"/>
      <color indexed="12"/>
      <name val="Tahoma"/>
      <family val="2"/>
    </font>
    <font>
      <sz val="8"/>
      <name val="Tahoma"/>
      <family val="2"/>
    </font>
    <font>
      <sz val="11"/>
      <color indexed="62"/>
      <name val="Calibri"/>
      <family val="2"/>
    </font>
    <font>
      <b/>
      <sz val="8"/>
      <name val="Tahoma"/>
      <family val="2"/>
    </font>
    <font>
      <sz val="11"/>
      <color indexed="60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b/>
      <sz val="8"/>
      <color indexed="9"/>
      <name val="Tahoma"/>
      <family val="2"/>
    </font>
    <font>
      <b/>
      <sz val="10"/>
      <color indexed="9"/>
      <name val="Arial"/>
      <family val="2"/>
    </font>
    <font>
      <sz val="10"/>
      <color indexed="12"/>
      <name val="Arial"/>
      <family val="2"/>
    </font>
    <font>
      <sz val="10"/>
      <color indexed="9"/>
      <name val="Arial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sz val="8"/>
      <color indexed="12"/>
      <name val="Arial"/>
      <family val="2"/>
    </font>
    <font>
      <sz val="10"/>
      <name val="Tahoma"/>
      <family val="2"/>
    </font>
    <font>
      <sz val="8"/>
      <color theme="0"/>
      <name val="Arial"/>
      <family val="2"/>
    </font>
    <font>
      <sz val="8"/>
      <color theme="0" tint="-0.34998626667073579"/>
      <name val="Arial"/>
      <family val="2"/>
    </font>
    <font>
      <sz val="9"/>
      <color theme="3" tint="0.39994506668294322"/>
      <name val="Arial"/>
      <family val="2"/>
    </font>
    <font>
      <sz val="8"/>
      <color rgb="FFFF0000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7"/>
      </patternFill>
    </fill>
    <fill>
      <patternFill patternType="solid">
        <fgColor indexed="43"/>
      </patternFill>
    </fill>
    <fill>
      <patternFill patternType="solid">
        <fgColor indexed="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9" tint="-0.24994659260841701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465926084170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6337778862885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theme="1" tint="0.24994659260841701"/>
        <bgColor indexed="64"/>
      </patternFill>
    </fill>
    <fill>
      <patternFill patternType="solid">
        <fgColor rgb="FFFFFFCE"/>
        <bgColor indexed="64"/>
      </patternFill>
    </fill>
    <fill>
      <patternFill patternType="solid">
        <fgColor theme="7" tint="0.59996337778862885"/>
        <bgColor indexed="64"/>
      </patternFill>
    </fill>
  </fills>
  <borders count="18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/>
      <bottom/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8168889431442"/>
      </top>
      <bottom style="thin">
        <color theme="4" tint="0.7999816888943144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</borders>
  <cellStyleXfs count="163">
    <xf numFmtId="0" fontId="0" fillId="0" borderId="0"/>
    <xf numFmtId="0" fontId="6" fillId="29" borderId="0"/>
    <xf numFmtId="0" fontId="7" fillId="7" borderId="0" applyBorder="0" applyAlignment="0">
      <alignment horizontal="left"/>
    </xf>
    <xf numFmtId="0" fontId="17" fillId="28" borderId="0">
      <alignment horizontal="left" vertical="center"/>
    </xf>
    <xf numFmtId="2" fontId="7" fillId="8" borderId="3" applyBorder="0" applyAlignment="0">
      <alignment horizontal="center"/>
    </xf>
    <xf numFmtId="0" fontId="7" fillId="9" borderId="3" applyBorder="0" applyAlignment="0">
      <alignment horizontal="left"/>
    </xf>
    <xf numFmtId="0" fontId="20" fillId="28" borderId="0" applyBorder="0" applyAlignment="0">
      <alignment vertical="center"/>
    </xf>
    <xf numFmtId="0" fontId="19" fillId="28" borderId="0" applyBorder="0" applyAlignment="0">
      <alignment vertical="center"/>
    </xf>
    <xf numFmtId="0" fontId="6" fillId="7" borderId="0" applyNumberFormat="0" applyBorder="0">
      <alignment horizontal="center"/>
    </xf>
    <xf numFmtId="0" fontId="6" fillId="10" borderId="2" applyBorder="0" applyAlignment="0">
      <alignment horizontal="center" vertical="center"/>
      <protection locked="0"/>
    </xf>
    <xf numFmtId="9" fontId="6" fillId="10" borderId="2" applyBorder="0" applyAlignment="0">
      <alignment horizontal="center"/>
      <protection locked="0"/>
    </xf>
    <xf numFmtId="0" fontId="6" fillId="7" borderId="0" applyFont="0" applyBorder="0" applyAlignment="0"/>
    <xf numFmtId="0" fontId="22" fillId="10" borderId="2" applyBorder="0">
      <alignment horizontal="center" wrapText="1"/>
      <protection locked="0"/>
    </xf>
    <xf numFmtId="4" fontId="5" fillId="11" borderId="0" applyAlignment="0">
      <alignment horizontal="center"/>
    </xf>
    <xf numFmtId="0" fontId="6" fillId="29" borderId="0"/>
    <xf numFmtId="0" fontId="8" fillId="10" borderId="4">
      <alignment horizontal="center" vertical="center" shrinkToFit="1"/>
      <protection locked="0"/>
    </xf>
    <xf numFmtId="0" fontId="6" fillId="11" borderId="5">
      <alignment horizontal="center"/>
    </xf>
    <xf numFmtId="2" fontId="21" fillId="0" borderId="6">
      <alignment horizontal="left"/>
    </xf>
    <xf numFmtId="0" fontId="6" fillId="8" borderId="7" applyBorder="0" applyAlignment="0"/>
    <xf numFmtId="164" fontId="5" fillId="0" borderId="0" applyFont="0" applyFill="0" applyBorder="0" applyAlignment="0" applyProtection="0"/>
    <xf numFmtId="0" fontId="10" fillId="13" borderId="4">
      <alignment horizontal="center" vertical="center"/>
      <protection locked="0"/>
    </xf>
    <xf numFmtId="0" fontId="9" fillId="10" borderId="4">
      <alignment horizontal="center" vertical="center" shrinkToFit="1"/>
      <protection locked="0"/>
    </xf>
    <xf numFmtId="165" fontId="5" fillId="0" borderId="0" applyFont="0" applyFill="0" applyBorder="0" applyAlignment="0" applyProtection="0"/>
    <xf numFmtId="0" fontId="10" fillId="7" borderId="4">
      <alignment horizontal="center" vertical="center"/>
    </xf>
    <xf numFmtId="0" fontId="11" fillId="14" borderId="8" applyNumberFormat="0" applyAlignment="0" applyProtection="0"/>
    <xf numFmtId="0" fontId="12" fillId="12" borderId="10">
      <alignment vertical="center" wrapText="1"/>
    </xf>
    <xf numFmtId="0" fontId="13" fillId="15" borderId="0" applyNumberFormat="0" applyBorder="0" applyAlignment="0" applyProtection="0"/>
    <xf numFmtId="0" fontId="6" fillId="12" borderId="0"/>
    <xf numFmtId="9" fontId="5" fillId="0" borderId="0" applyFon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16" borderId="0">
      <alignment horizontal="left" vertical="center" indent="1"/>
    </xf>
    <xf numFmtId="0" fontId="7" fillId="32" borderId="0" applyNumberFormat="0" applyFont="0" applyBorder="0" applyAlignment="0"/>
    <xf numFmtId="0" fontId="7" fillId="22" borderId="0" applyNumberFormat="0" applyFont="0" applyBorder="0" applyAlignment="0"/>
    <xf numFmtId="0" fontId="6" fillId="23" borderId="0" applyNumberFormat="0" applyFont="0" applyBorder="0" applyAlignment="0"/>
    <xf numFmtId="0" fontId="6" fillId="17" borderId="0" applyNumberFormat="0" applyFont="0" applyBorder="0" applyAlignment="0"/>
    <xf numFmtId="0" fontId="6" fillId="24" borderId="0" applyNumberFormat="0" applyFont="0" applyBorder="0" applyAlignment="0"/>
    <xf numFmtId="1" fontId="6" fillId="25" borderId="0" applyNumberFormat="0" applyFont="0" applyBorder="0" applyAlignment="0">
      <alignment horizontal="center" wrapText="1"/>
    </xf>
    <xf numFmtId="1" fontId="6" fillId="26" borderId="0" applyNumberFormat="0" applyFont="0" applyBorder="0" applyAlignment="0">
      <alignment horizontal="center" wrapText="1"/>
    </xf>
    <xf numFmtId="1" fontId="20" fillId="33" borderId="0" applyNumberFormat="0" applyFont="0" applyBorder="0" applyAlignment="0">
      <alignment horizontal="center" wrapText="1"/>
    </xf>
    <xf numFmtId="0" fontId="6" fillId="27" borderId="0" applyNumberFormat="0" applyFont="0" applyBorder="0" applyAlignment="0"/>
    <xf numFmtId="0" fontId="6" fillId="28" borderId="0" applyNumberFormat="0" applyFont="0" applyBorder="0" applyAlignment="0"/>
    <xf numFmtId="0" fontId="6" fillId="20" borderId="0" applyNumberFormat="0" applyFont="0" applyBorder="0" applyAlignment="0"/>
    <xf numFmtId="0" fontId="6" fillId="18" borderId="11" applyNumberFormat="0" applyFont="0" applyBorder="0" applyAlignment="0"/>
    <xf numFmtId="0" fontId="7" fillId="30" borderId="0" applyNumberFormat="0" applyFont="0" applyBorder="0" applyAlignment="0">
      <alignment horizontal="centerContinuous"/>
    </xf>
    <xf numFmtId="0" fontId="6" fillId="31" borderId="0" applyNumberFormat="0" applyFont="0" applyBorder="0" applyAlignment="0"/>
    <xf numFmtId="0" fontId="24" fillId="34" borderId="0" applyNumberFormat="0" applyBorder="0" applyAlignment="0"/>
    <xf numFmtId="0" fontId="20" fillId="19" borderId="0" applyNumberFormat="0" applyFont="0" applyBorder="0" applyAlignment="0"/>
    <xf numFmtId="166" fontId="6" fillId="35" borderId="0" applyNumberFormat="0" applyFont="0" applyBorder="0" applyAlignment="0">
      <alignment horizontal="center"/>
    </xf>
    <xf numFmtId="0" fontId="6" fillId="10" borderId="2" applyNumberFormat="0" applyFont="0" applyFill="0" applyBorder="0" applyAlignment="0">
      <alignment horizontal="center" vertical="center"/>
      <protection locked="0"/>
    </xf>
    <xf numFmtId="0" fontId="9" fillId="10" borderId="4">
      <alignment horizontal="center" vertical="center" shrinkToFit="1"/>
      <protection locked="0"/>
    </xf>
    <xf numFmtId="0" fontId="10" fillId="12" borderId="10">
      <alignment horizontal="left" vertical="top" wrapText="1"/>
    </xf>
    <xf numFmtId="0" fontId="6" fillId="29" borderId="0"/>
    <xf numFmtId="0" fontId="6" fillId="10" borderId="2" applyBorder="0" applyAlignment="0">
      <alignment horizontal="center" vertical="center"/>
      <protection locked="0"/>
    </xf>
    <xf numFmtId="0" fontId="6" fillId="8" borderId="13" applyBorder="0" applyAlignment="0"/>
    <xf numFmtId="0" fontId="23" fillId="6" borderId="1" applyNumberFormat="0" applyFont="0" applyAlignment="0" applyProtection="0"/>
    <xf numFmtId="49" fontId="25" fillId="7" borderId="12" applyBorder="0">
      <alignment horizontal="left" vertical="top"/>
    </xf>
    <xf numFmtId="0" fontId="26" fillId="36" borderId="14">
      <alignment horizontal="left" vertical="center" wrapText="1"/>
      <protection locked="0"/>
    </xf>
    <xf numFmtId="167" fontId="26" fillId="36" borderId="14">
      <alignment horizontal="center" vertical="center"/>
      <protection locked="0"/>
    </xf>
    <xf numFmtId="0" fontId="27" fillId="17" borderId="4">
      <alignment horizontal="center" vertical="center"/>
    </xf>
    <xf numFmtId="0" fontId="4" fillId="6" borderId="1" applyNumberFormat="0" applyFont="0" applyAlignment="0" applyProtection="0"/>
    <xf numFmtId="0" fontId="6" fillId="18" borderId="15" applyNumberFormat="0" applyFont="0" applyBorder="0" applyAlignment="0"/>
    <xf numFmtId="0" fontId="4" fillId="6" borderId="1" applyNumberFormat="0" applyFont="0" applyAlignment="0" applyProtection="0"/>
    <xf numFmtId="0" fontId="6" fillId="18" borderId="11" applyNumberFormat="0" applyFont="0" applyBorder="0" applyAlignment="0"/>
    <xf numFmtId="0" fontId="6" fillId="18" borderId="11" applyNumberFormat="0" applyFont="0" applyBorder="0" applyAlignment="0"/>
    <xf numFmtId="164" fontId="5" fillId="0" borderId="0" applyFont="0" applyFill="0" applyBorder="0" applyAlignment="0" applyProtection="0"/>
    <xf numFmtId="0" fontId="13" fillId="15" borderId="0" applyNumberFormat="0" applyBorder="0" applyAlignment="0" applyProtection="0"/>
    <xf numFmtId="0" fontId="6" fillId="18" borderId="11" applyNumberFormat="0" applyFont="0" applyBorder="0" applyAlignment="0"/>
    <xf numFmtId="0" fontId="4" fillId="6" borderId="1" applyNumberFormat="0" applyFont="0" applyAlignment="0" applyProtection="0"/>
    <xf numFmtId="0" fontId="6" fillId="18" borderId="11" applyNumberFormat="0" applyFont="0" applyBorder="0" applyAlignment="0"/>
    <xf numFmtId="164" fontId="5" fillId="0" borderId="0" applyFont="0" applyFill="0" applyBorder="0" applyAlignment="0" applyProtection="0"/>
    <xf numFmtId="0" fontId="13" fillId="15" borderId="0" applyNumberFormat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6" borderId="1" applyNumberFormat="0" applyFont="0" applyAlignment="0" applyProtection="0"/>
    <xf numFmtId="0" fontId="18" fillId="10" borderId="4">
      <alignment horizontal="center" vertical="center" shrinkToFit="1"/>
      <protection locked="0"/>
    </xf>
    <xf numFmtId="9" fontId="5" fillId="0" borderId="0" applyFont="0" applyFill="0" applyBorder="0" applyAlignment="0" applyProtection="0"/>
    <xf numFmtId="0" fontId="5" fillId="0" borderId="0"/>
    <xf numFmtId="0" fontId="5" fillId="0" borderId="0"/>
    <xf numFmtId="0" fontId="6" fillId="29" borderId="0"/>
    <xf numFmtId="0" fontId="12" fillId="12" borderId="10">
      <alignment vertical="center" wrapText="1"/>
    </xf>
    <xf numFmtId="0" fontId="27" fillId="17" borderId="4">
      <alignment horizontal="center" vertical="center"/>
    </xf>
    <xf numFmtId="0" fontId="10" fillId="12" borderId="10">
      <alignment horizontal="left" vertical="top" wrapText="1"/>
    </xf>
    <xf numFmtId="0" fontId="9" fillId="10" borderId="4">
      <alignment horizontal="center" vertical="center" shrinkToFit="1"/>
      <protection locked="0"/>
    </xf>
    <xf numFmtId="164" fontId="5" fillId="0" borderId="0" applyFont="0" applyFill="0" applyBorder="0" applyAlignment="0" applyProtection="0"/>
    <xf numFmtId="0" fontId="10" fillId="13" borderId="4">
      <alignment horizontal="center" vertical="center"/>
      <protection locked="0"/>
    </xf>
    <xf numFmtId="0" fontId="10" fillId="7" borderId="4">
      <alignment horizontal="center" vertical="center"/>
    </xf>
    <xf numFmtId="0" fontId="12" fillId="12" borderId="10">
      <alignment vertical="center" wrapText="1"/>
    </xf>
    <xf numFmtId="0" fontId="13" fillId="15" borderId="0" applyNumberFormat="0" applyBorder="0" applyAlignment="0" applyProtection="0"/>
    <xf numFmtId="0" fontId="7" fillId="9" borderId="3" applyBorder="0" applyAlignment="0">
      <alignment horizontal="left"/>
    </xf>
    <xf numFmtId="0" fontId="10" fillId="13" borderId="4">
      <alignment horizontal="center" vertical="center"/>
      <protection locked="0"/>
    </xf>
    <xf numFmtId="0" fontId="9" fillId="10" borderId="4">
      <alignment horizontal="center" vertical="center" shrinkToFit="1"/>
      <protection locked="0"/>
    </xf>
    <xf numFmtId="0" fontId="15" fillId="0" borderId="9" applyNumberFormat="0" applyFill="0" applyAlignment="0" applyProtection="0"/>
    <xf numFmtId="0" fontId="9" fillId="10" borderId="4">
      <alignment horizontal="center" vertical="center" shrinkToFit="1"/>
      <protection locked="0"/>
    </xf>
    <xf numFmtId="0" fontId="7" fillId="9" borderId="3" applyBorder="0" applyAlignment="0">
      <alignment horizontal="left"/>
    </xf>
    <xf numFmtId="0" fontId="15" fillId="0" borderId="9" applyNumberFormat="0" applyFill="0" applyAlignment="0" applyProtection="0"/>
    <xf numFmtId="0" fontId="10" fillId="12" borderId="10">
      <alignment horizontal="left" vertical="top" wrapText="1"/>
    </xf>
    <xf numFmtId="0" fontId="4" fillId="6" borderId="1" applyNumberFormat="0" applyFont="0" applyAlignment="0" applyProtection="0"/>
    <xf numFmtId="0" fontId="4" fillId="6" borderId="1" applyNumberFormat="0" applyFont="0" applyAlignment="0" applyProtection="0"/>
    <xf numFmtId="0" fontId="11" fillId="14" borderId="8" applyNumberFormat="0" applyAlignment="0" applyProtection="0"/>
    <xf numFmtId="0" fontId="12" fillId="12" borderId="10">
      <alignment vertical="center" wrapText="1"/>
    </xf>
    <xf numFmtId="0" fontId="4" fillId="6" borderId="1" applyNumberFormat="0" applyFont="0" applyAlignment="0" applyProtection="0"/>
    <xf numFmtId="0" fontId="10" fillId="7" borderId="4">
      <alignment horizontal="center" vertical="center"/>
    </xf>
    <xf numFmtId="0" fontId="8" fillId="10" borderId="4">
      <alignment horizontal="center" vertical="center" shrinkToFit="1"/>
      <protection locked="0"/>
    </xf>
    <xf numFmtId="0" fontId="11" fillId="14" borderId="8" applyNumberFormat="0" applyAlignment="0" applyProtection="0"/>
    <xf numFmtId="0" fontId="18" fillId="10" borderId="4">
      <alignment horizontal="center" vertical="center" shrinkToFit="1"/>
      <protection locked="0"/>
    </xf>
    <xf numFmtId="0" fontId="10" fillId="12" borderId="10">
      <alignment horizontal="left" vertical="top" wrapText="1"/>
    </xf>
    <xf numFmtId="0" fontId="12" fillId="12" borderId="10">
      <alignment vertical="center" wrapText="1"/>
    </xf>
    <xf numFmtId="0" fontId="12" fillId="12" borderId="10">
      <alignment vertical="center" wrapText="1"/>
    </xf>
    <xf numFmtId="49" fontId="25" fillId="7" borderId="16" applyBorder="0">
      <alignment horizontal="left" vertical="top"/>
    </xf>
    <xf numFmtId="0" fontId="4" fillId="6" borderId="1" applyNumberFormat="0" applyFont="0" applyAlignment="0" applyProtection="0"/>
    <xf numFmtId="0" fontId="4" fillId="6" borderId="1" applyNumberFormat="0" applyFont="0" applyAlignment="0" applyProtection="0"/>
    <xf numFmtId="0" fontId="4" fillId="6" borderId="1" applyNumberFormat="0" applyFont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6" borderId="1" applyNumberFormat="0" applyFont="0" applyAlignment="0" applyProtection="0"/>
    <xf numFmtId="0" fontId="12" fillId="12" borderId="10">
      <alignment vertical="center" wrapText="1"/>
    </xf>
    <xf numFmtId="0" fontId="7" fillId="9" borderId="3" applyBorder="0" applyAlignment="0">
      <alignment horizontal="left"/>
    </xf>
    <xf numFmtId="0" fontId="15" fillId="0" borderId="9" applyNumberFormat="0" applyFill="0" applyAlignment="0" applyProtection="0"/>
    <xf numFmtId="0" fontId="7" fillId="9" borderId="3" applyBorder="0" applyAlignment="0">
      <alignment horizontal="left"/>
    </xf>
    <xf numFmtId="0" fontId="15" fillId="0" borderId="9" applyNumberFormat="0" applyFill="0" applyAlignment="0" applyProtection="0"/>
    <xf numFmtId="0" fontId="10" fillId="12" borderId="10">
      <alignment horizontal="left" vertical="top" wrapText="1"/>
    </xf>
    <xf numFmtId="0" fontId="4" fillId="6" borderId="1" applyNumberFormat="0" applyFont="0" applyAlignment="0" applyProtection="0"/>
    <xf numFmtId="0" fontId="4" fillId="6" borderId="1" applyNumberFormat="0" applyFont="0" applyAlignment="0" applyProtection="0"/>
    <xf numFmtId="0" fontId="11" fillId="14" borderId="8" applyNumberFormat="0" applyAlignment="0" applyProtection="0"/>
    <xf numFmtId="0" fontId="12" fillId="12" borderId="10">
      <alignment vertical="center" wrapText="1"/>
    </xf>
    <xf numFmtId="0" fontId="4" fillId="6" borderId="1" applyNumberFormat="0" applyFont="0" applyAlignment="0" applyProtection="0"/>
    <xf numFmtId="0" fontId="23" fillId="0" borderId="0"/>
    <xf numFmtId="2" fontId="23" fillId="37" borderId="2" applyNumberFormat="0" applyFont="0" applyAlignment="0">
      <alignment horizontal="center"/>
    </xf>
    <xf numFmtId="0" fontId="4" fillId="0" borderId="0"/>
    <xf numFmtId="0" fontId="12" fillId="12" borderId="10">
      <alignment vertical="center" wrapText="1"/>
    </xf>
    <xf numFmtId="0" fontId="4" fillId="6" borderId="1" applyNumberFormat="0" applyFont="0" applyAlignment="0" applyProtection="0"/>
    <xf numFmtId="0" fontId="4" fillId="6" borderId="1" applyNumberFormat="0" applyFont="0" applyAlignment="0" applyProtection="0"/>
    <xf numFmtId="0" fontId="4" fillId="6" borderId="1" applyNumberFormat="0" applyFont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6" borderId="1" applyNumberFormat="0" applyFont="0" applyAlignment="0" applyProtection="0"/>
    <xf numFmtId="0" fontId="15" fillId="0" borderId="9" applyNumberFormat="0" applyFill="0" applyAlignment="0" applyProtection="0"/>
    <xf numFmtId="0" fontId="7" fillId="9" borderId="3" applyBorder="0" applyAlignment="0">
      <alignment horizontal="left"/>
    </xf>
    <xf numFmtId="0" fontId="10" fillId="12" borderId="10">
      <alignment horizontal="left" vertical="top" wrapText="1"/>
    </xf>
    <xf numFmtId="0" fontId="4" fillId="6" borderId="1" applyNumberFormat="0" applyFont="0" applyAlignment="0" applyProtection="0"/>
    <xf numFmtId="0" fontId="4" fillId="6" borderId="1" applyNumberFormat="0" applyFont="0" applyAlignment="0" applyProtection="0"/>
    <xf numFmtId="0" fontId="11" fillId="14" borderId="8" applyNumberFormat="0" applyAlignment="0" applyProtection="0"/>
    <xf numFmtId="0" fontId="12" fillId="12" borderId="10">
      <alignment vertical="center" wrapText="1"/>
    </xf>
    <xf numFmtId="0" fontId="4" fillId="6" borderId="1" applyNumberFormat="0" applyFont="0" applyAlignment="0" applyProtection="0"/>
    <xf numFmtId="0" fontId="4" fillId="0" borderId="0"/>
    <xf numFmtId="0" fontId="7" fillId="9" borderId="3" applyBorder="0" applyAlignment="0">
      <alignment horizontal="left"/>
    </xf>
    <xf numFmtId="0" fontId="15" fillId="0" borderId="9" applyNumberFormat="0" applyFill="0" applyAlignment="0" applyProtection="0"/>
    <xf numFmtId="0" fontId="7" fillId="9" borderId="3" applyBorder="0" applyAlignment="0">
      <alignment horizontal="left"/>
    </xf>
    <xf numFmtId="0" fontId="15" fillId="0" borderId="9" applyNumberFormat="0" applyFill="0" applyAlignment="0" applyProtection="0"/>
    <xf numFmtId="0" fontId="10" fillId="12" borderId="10">
      <alignment horizontal="left" vertical="top" wrapText="1"/>
    </xf>
    <xf numFmtId="0" fontId="11" fillId="14" borderId="8" applyNumberFormat="0" applyAlignment="0" applyProtection="0"/>
    <xf numFmtId="0" fontId="12" fillId="12" borderId="10">
      <alignment vertical="center" wrapText="1"/>
    </xf>
    <xf numFmtId="0" fontId="11" fillId="14" borderId="8" applyNumberFormat="0" applyAlignment="0" applyProtection="0"/>
    <xf numFmtId="0" fontId="12" fillId="12" borderId="10">
      <alignment vertical="center" wrapText="1"/>
    </xf>
    <xf numFmtId="0" fontId="15" fillId="0" borderId="9" applyNumberFormat="0" applyFill="0" applyAlignment="0" applyProtection="0"/>
    <xf numFmtId="0" fontId="7" fillId="9" borderId="3" applyBorder="0" applyAlignment="0">
      <alignment horizontal="left"/>
    </xf>
    <xf numFmtId="0" fontId="10" fillId="12" borderId="10">
      <alignment horizontal="left" vertical="top" wrapText="1"/>
    </xf>
    <xf numFmtId="0" fontId="11" fillId="14" borderId="8" applyNumberFormat="0" applyAlignment="0" applyProtection="0"/>
    <xf numFmtId="0" fontId="12" fillId="12" borderId="10">
      <alignment vertical="center" wrapText="1"/>
    </xf>
    <xf numFmtId="168" fontId="5" fillId="0" borderId="0" applyFont="0" applyFill="0" applyBorder="0" applyAlignment="0" applyProtection="0"/>
    <xf numFmtId="49" fontId="25" fillId="7" borderId="12" applyBorder="0">
      <alignment horizontal="left" vertical="top"/>
    </xf>
    <xf numFmtId="49" fontId="25" fillId="7" borderId="17" applyBorder="0">
      <alignment horizontal="left" vertical="top"/>
    </xf>
  </cellStyleXfs>
  <cellXfs count="24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0" borderId="0" xfId="0" applyNumberFormat="1"/>
    <xf numFmtId="16" fontId="2" fillId="0" borderId="0" xfId="0" quotePrefix="1" applyNumberFormat="1" applyFont="1"/>
    <xf numFmtId="0" fontId="0" fillId="0" borderId="0" xfId="0" quotePrefix="1"/>
    <xf numFmtId="0" fontId="2" fillId="0" borderId="0" xfId="0" quotePrefix="1" applyFont="1"/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5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1" fontId="2" fillId="0" borderId="0" xfId="79" applyNumberFormat="1" applyFont="1" applyFill="1" applyAlignment="1">
      <alignment horizontal="left" vertical="center"/>
    </xf>
    <xf numFmtId="1" fontId="2" fillId="21" borderId="0" xfId="79" applyNumberFormat="1" applyFont="1" applyFill="1" applyAlignment="1">
      <alignment horizontal="left" vertical="center"/>
    </xf>
    <xf numFmtId="1" fontId="0" fillId="0" borderId="0" xfId="0" applyNumberFormat="1" applyAlignment="1">
      <alignment horizontal="left"/>
    </xf>
    <xf numFmtId="2" fontId="2" fillId="0" borderId="0" xfId="0" quotePrefix="1" applyNumberFormat="1" applyFont="1"/>
    <xf numFmtId="0" fontId="3" fillId="21" borderId="0" xfId="0" applyFont="1" applyFill="1" applyAlignment="1">
      <alignment horizontal="center"/>
    </xf>
    <xf numFmtId="0" fontId="3" fillId="0" borderId="0" xfId="0" applyFont="1" applyFill="1" applyAlignment="1">
      <alignment horizontal="center"/>
    </xf>
    <xf numFmtId="0" fontId="0" fillId="0" borderId="0" xfId="0" applyFill="1" applyAlignment="1">
      <alignment horizontal="left"/>
    </xf>
    <xf numFmtId="0" fontId="0" fillId="0" borderId="0" xfId="0" applyFill="1"/>
    <xf numFmtId="0" fontId="0" fillId="20" borderId="0" xfId="0" applyFill="1"/>
    <xf numFmtId="0" fontId="0" fillId="20" borderId="0" xfId="0" applyFill="1" applyAlignment="1">
      <alignment horizontal="left"/>
    </xf>
    <xf numFmtId="0" fontId="1" fillId="0" borderId="0" xfId="0" applyFont="1"/>
  </cellXfs>
  <cellStyles count="163">
    <cellStyle name="A-Calc-Beschreibung" xfId="2" xr:uid="{00000000-0005-0000-0000-000000000000}"/>
    <cellStyle name="A-DB_Überschr_1" xfId="3" xr:uid="{00000000-0005-0000-0000-000001000000}"/>
    <cellStyle name="A-DB-Beschr_Ergebnis" xfId="4" xr:uid="{00000000-0005-0000-0000-000002000000}"/>
    <cellStyle name="A-DB-Beschreibung" xfId="5" xr:uid="{00000000-0005-0000-0000-000003000000}"/>
    <cellStyle name="A-DB-Beschreibung 2" xfId="94" xr:uid="{00000000-0005-0000-0000-000004000000}"/>
    <cellStyle name="A-DB-Beschreibung 2 2" xfId="138" xr:uid="{00000000-0005-0000-0000-000005000000}"/>
    <cellStyle name="A-DB-Beschreibung 2 2 2" xfId="156" xr:uid="{00000000-0005-0000-0000-000006000000}"/>
    <cellStyle name="A-DB-Beschreibung 2 3" xfId="119" xr:uid="{00000000-0005-0000-0000-000007000000}"/>
    <cellStyle name="A-DB-Beschreibung 2 4" xfId="148" xr:uid="{00000000-0005-0000-0000-000008000000}"/>
    <cellStyle name="A-DB-Beschreibung 3" xfId="89" xr:uid="{00000000-0005-0000-0000-000009000000}"/>
    <cellStyle name="A-DB-Beschreibung 3 2" xfId="117" xr:uid="{00000000-0005-0000-0000-00000A000000}"/>
    <cellStyle name="A-DB-Beschreibung 3 3" xfId="146" xr:uid="{00000000-0005-0000-0000-00000B000000}"/>
    <cellStyle name="A-DB-Tabellenkopf" xfId="6" xr:uid="{00000000-0005-0000-0000-00000C000000}"/>
    <cellStyle name="A-DB-Überschr_2" xfId="7" xr:uid="{00000000-0005-0000-0000-00000D000000}"/>
    <cellStyle name="A-DB-Wert" xfId="8" xr:uid="{00000000-0005-0000-0000-00000E000000}"/>
    <cellStyle name="A-Eingabe" xfId="9" xr:uid="{00000000-0005-0000-0000-00000F000000}"/>
    <cellStyle name="A-Eingabe 2" xfId="53" xr:uid="{00000000-0005-0000-0000-000010000000}"/>
    <cellStyle name="A-Eingabe weiß" xfId="49" xr:uid="{00000000-0005-0000-0000-000011000000}"/>
    <cellStyle name="A-Eingabe_Prozent" xfId="10" xr:uid="{00000000-0005-0000-0000-000012000000}"/>
    <cellStyle name="A-Eingabebereich" xfId="11" xr:uid="{00000000-0005-0000-0000-000013000000}"/>
    <cellStyle name="A-Eingabe-inaktiv" xfId="56" xr:uid="{00000000-0005-0000-0000-000014000000}"/>
    <cellStyle name="A-Eingabe-inaktiv 2" xfId="109" xr:uid="{00000000-0005-0000-0000-000015000000}"/>
    <cellStyle name="A-Eingabe-inaktiv 2 2" xfId="162" xr:uid="{00000000-0005-0000-0000-000016000000}"/>
    <cellStyle name="A-Eingabe-inaktiv 2 3" xfId="161" xr:uid="{00000000-0005-0000-0000-000017000000}"/>
    <cellStyle name="A-Eingabe-Liste" xfId="12" xr:uid="{00000000-0005-0000-0000-000018000000}"/>
    <cellStyle name="A-Ergebnis" xfId="13" xr:uid="{00000000-0005-0000-0000-000019000000}"/>
    <cellStyle name="A-Hintergrund" xfId="14" xr:uid="{00000000-0005-0000-0000-00001A000000}"/>
    <cellStyle name="A-In-Bezug" xfId="15" xr:uid="{00000000-0005-0000-0000-00001B000000}"/>
    <cellStyle name="A-In-Bezug 2" xfId="103" xr:uid="{00000000-0005-0000-0000-00001C000000}"/>
    <cellStyle name="A-In-Var_Wert" xfId="16" xr:uid="{00000000-0005-0000-0000-00001D000000}"/>
    <cellStyle name="A-In-Var-name" xfId="17" xr:uid="{00000000-0005-0000-0000-00001E000000}"/>
    <cellStyle name="A-Liste" xfId="18" xr:uid="{00000000-0005-0000-0000-00001F000000}"/>
    <cellStyle name="A-Liste 2" xfId="54" xr:uid="{00000000-0005-0000-0000-000020000000}"/>
    <cellStyle name="B-Arbeitshilfen" xfId="39" xr:uid="{00000000-0005-0000-0000-000021000000}"/>
    <cellStyle name="B-Beleuchtung" xfId="35" xr:uid="{00000000-0005-0000-0000-000022000000}"/>
    <cellStyle name="B-Dampf" xfId="32" xr:uid="{00000000-0005-0000-0000-000023000000}"/>
    <cellStyle name="B-DiverseTechnik" xfId="48" xr:uid="{00000000-0005-0000-0000-000024000000}"/>
    <cellStyle name="B-Heizung" xfId="37" xr:uid="{00000000-0005-0000-0000-000025000000}"/>
    <cellStyle name="B-Hilfsenergie" xfId="46" xr:uid="{00000000-0005-0000-0000-000026000000}"/>
    <cellStyle name="B-Hz+WW" xfId="36" xr:uid="{00000000-0005-0000-0000-000027000000}"/>
    <cellStyle name="B-Kälte" xfId="33" xr:uid="{00000000-0005-0000-0000-000028000000}"/>
    <cellStyle name="B-Luftförderung" xfId="34" xr:uid="{00000000-0005-0000-0000-000029000000}"/>
    <cellStyle name="B-Warmwasser" xfId="38" xr:uid="{00000000-0005-0000-0000-00002A000000}"/>
    <cellStyle name="B-ZentraleDienste" xfId="47" xr:uid="{00000000-0005-0000-0000-00002B000000}"/>
    <cellStyle name="C- Zone" xfId="43" xr:uid="{00000000-0005-0000-0000-00002C000000}"/>
    <cellStyle name="C- Zone 2" xfId="61" xr:uid="{00000000-0005-0000-0000-00002D000000}"/>
    <cellStyle name="C- Zone 2 2" xfId="67" xr:uid="{00000000-0005-0000-0000-00002E000000}"/>
    <cellStyle name="C- Zone 3" xfId="63" xr:uid="{00000000-0005-0000-0000-00002F000000}"/>
    <cellStyle name="C- Zone 3 2" xfId="69" xr:uid="{00000000-0005-0000-0000-000030000000}"/>
    <cellStyle name="C- Zone 4" xfId="64" xr:uid="{00000000-0005-0000-0000-000031000000}"/>
    <cellStyle name="C-Bereich" xfId="42" xr:uid="{00000000-0005-0000-0000-000032000000}"/>
    <cellStyle name="C-Erzeuger" xfId="41" xr:uid="{00000000-0005-0000-0000-000033000000}"/>
    <cellStyle name="C-Gebäude" xfId="40" xr:uid="{00000000-0005-0000-0000-000034000000}"/>
    <cellStyle name="D-Legende" xfId="44" xr:uid="{00000000-0005-0000-0000-000035000000}"/>
    <cellStyle name="D-Wert" xfId="45" xr:uid="{00000000-0005-0000-0000-000036000000}"/>
    <cellStyle name="Eingabe 2" xfId="50" xr:uid="{00000000-0005-0000-0000-000037000000}"/>
    <cellStyle name="Eingabe 2 2" xfId="75" xr:uid="{00000000-0005-0000-0000-000038000000}"/>
    <cellStyle name="Eingabe 2 2 2" xfId="105" xr:uid="{00000000-0005-0000-0000-000039000000}"/>
    <cellStyle name="Eingabe 2 3" xfId="93" xr:uid="{00000000-0005-0000-0000-00003A000000}"/>
    <cellStyle name="Eingabe 2 3 2" xfId="83" xr:uid="{00000000-0005-0000-0000-00003B000000}"/>
    <cellStyle name="Eingabe 3 (Schutz)" xfId="59" xr:uid="{00000000-0005-0000-0000-00003C000000}"/>
    <cellStyle name="Eingabe 3 (Schutz) 2" xfId="81" xr:uid="{00000000-0005-0000-0000-00003D000000}"/>
    <cellStyle name="Eingabe oder Formel" xfId="20" xr:uid="{00000000-0005-0000-0000-00003E000000}"/>
    <cellStyle name="Eingabe oder Formel 2" xfId="85" xr:uid="{00000000-0005-0000-0000-00003F000000}"/>
    <cellStyle name="Eingabe oder Formel 2 2" xfId="90" xr:uid="{00000000-0005-0000-0000-000040000000}"/>
    <cellStyle name="Eingabe1" xfId="21" xr:uid="{00000000-0005-0000-0000-000041000000}"/>
    <cellStyle name="Eingabe1 2" xfId="91" xr:uid="{00000000-0005-0000-0000-000042000000}"/>
    <cellStyle name="Euro" xfId="22" xr:uid="{00000000-0005-0000-0000-000043000000}"/>
    <cellStyle name="Euro 2" xfId="160" xr:uid="{00000000-0005-0000-0000-000044000000}"/>
    <cellStyle name="Formel" xfId="23" xr:uid="{00000000-0005-0000-0000-000045000000}"/>
    <cellStyle name="Formel 2" xfId="86" xr:uid="{00000000-0005-0000-0000-000046000000}"/>
    <cellStyle name="Formel 2 2" xfId="102" xr:uid="{00000000-0005-0000-0000-000047000000}"/>
    <cellStyle name="Input" xfId="24" xr:uid="{00000000-0005-0000-0000-000048000000}"/>
    <cellStyle name="Input 2" xfId="99" xr:uid="{00000000-0005-0000-0000-000049000000}"/>
    <cellStyle name="Input 2 2" xfId="142" xr:uid="{00000000-0005-0000-0000-00004A000000}"/>
    <cellStyle name="Input 2 2 2" xfId="158" xr:uid="{00000000-0005-0000-0000-00004B000000}"/>
    <cellStyle name="Input 2 3" xfId="124" xr:uid="{00000000-0005-0000-0000-00004C000000}"/>
    <cellStyle name="Input 2 4" xfId="151" xr:uid="{00000000-0005-0000-0000-00004D000000}"/>
    <cellStyle name="Input 3" xfId="104" xr:uid="{00000000-0005-0000-0000-00004E000000}"/>
    <cellStyle name="Input 3 2" xfId="153" xr:uid="{00000000-0005-0000-0000-00004F000000}"/>
    <cellStyle name="Komma 2" xfId="65" xr:uid="{00000000-0005-0000-0000-000050000000}"/>
    <cellStyle name="Komma 3" xfId="70" xr:uid="{00000000-0005-0000-0000-000051000000}"/>
    <cellStyle name="Komma 4" xfId="84" xr:uid="{00000000-0005-0000-0000-000052000000}"/>
    <cellStyle name="Komma 5" xfId="19" xr:uid="{00000000-0005-0000-0000-000053000000}"/>
    <cellStyle name="label" xfId="25" xr:uid="{00000000-0005-0000-0000-000054000000}"/>
    <cellStyle name="Label 2" xfId="51" xr:uid="{00000000-0005-0000-0000-000055000000}"/>
    <cellStyle name="Label 2 2" xfId="96" xr:uid="{00000000-0005-0000-0000-000056000000}"/>
    <cellStyle name="Label 2 2 2" xfId="139" xr:uid="{00000000-0005-0000-0000-000057000000}"/>
    <cellStyle name="Label 2 2 2 2" xfId="157" xr:uid="{00000000-0005-0000-0000-000058000000}"/>
    <cellStyle name="Label 2 2 3" xfId="121" xr:uid="{00000000-0005-0000-0000-000059000000}"/>
    <cellStyle name="Label 2 2 4" xfId="150" xr:uid="{00000000-0005-0000-0000-00005A000000}"/>
    <cellStyle name="Label 2 3" xfId="82" xr:uid="{00000000-0005-0000-0000-00005B000000}"/>
    <cellStyle name="Label 2 3 2" xfId="106" xr:uid="{00000000-0005-0000-0000-00005C000000}"/>
    <cellStyle name="label 3" xfId="87" xr:uid="{00000000-0005-0000-0000-00005D000000}"/>
    <cellStyle name="label 3 2" xfId="100" xr:uid="{00000000-0005-0000-0000-00005E000000}"/>
    <cellStyle name="label 3 2 2" xfId="143" xr:uid="{00000000-0005-0000-0000-00005F000000}"/>
    <cellStyle name="label 3 2 2 2" xfId="159" xr:uid="{00000000-0005-0000-0000-000060000000}"/>
    <cellStyle name="label 3 2 3" xfId="125" xr:uid="{00000000-0005-0000-0000-000061000000}"/>
    <cellStyle name="label 3 2 4" xfId="152" xr:uid="{00000000-0005-0000-0000-000062000000}"/>
    <cellStyle name="label 3 3" xfId="80" xr:uid="{00000000-0005-0000-0000-000063000000}"/>
    <cellStyle name="label 3 3 2" xfId="107" xr:uid="{00000000-0005-0000-0000-000064000000}"/>
    <cellStyle name="label 4" xfId="130" xr:uid="{00000000-0005-0000-0000-000065000000}"/>
    <cellStyle name="label 4 2" xfId="154" xr:uid="{00000000-0005-0000-0000-000066000000}"/>
    <cellStyle name="label 5" xfId="108" xr:uid="{00000000-0005-0000-0000-000067000000}"/>
    <cellStyle name="label 6" xfId="116" xr:uid="{00000000-0005-0000-0000-000068000000}"/>
    <cellStyle name="mod" xfId="128" xr:uid="{00000000-0005-0000-0000-000069000000}"/>
    <cellStyle name="Neutral 2" xfId="66" xr:uid="{00000000-0005-0000-0000-00006A000000}"/>
    <cellStyle name="Neutral 3" xfId="71" xr:uid="{00000000-0005-0000-0000-00006B000000}"/>
    <cellStyle name="Neutral 4" xfId="88" xr:uid="{00000000-0005-0000-0000-00006C000000}"/>
    <cellStyle name="Neutral 5" xfId="26" xr:uid="{00000000-0005-0000-0000-00006D000000}"/>
    <cellStyle name="Normal_STANDARD" xfId="27" xr:uid="{00000000-0005-0000-0000-00006E000000}"/>
    <cellStyle name="Notiz 2" xfId="55" xr:uid="{00000000-0005-0000-0000-00006F000000}"/>
    <cellStyle name="Notiz 3" xfId="60" xr:uid="{00000000-0005-0000-0000-000070000000}"/>
    <cellStyle name="Notiz 3 2" xfId="62" xr:uid="{00000000-0005-0000-0000-000071000000}"/>
    <cellStyle name="Notiz 3 2 2" xfId="68" xr:uid="{00000000-0005-0000-0000-000072000000}"/>
    <cellStyle name="Notiz 3 2 2 2" xfId="101" xr:uid="{00000000-0005-0000-0000-000073000000}"/>
    <cellStyle name="Notiz 3 2 2 2 2" xfId="144" xr:uid="{00000000-0005-0000-0000-000074000000}"/>
    <cellStyle name="Notiz 3 2 2 2 3" xfId="126" xr:uid="{00000000-0005-0000-0000-000075000000}"/>
    <cellStyle name="Notiz 3 2 2 3" xfId="133" xr:uid="{00000000-0005-0000-0000-000076000000}"/>
    <cellStyle name="Notiz 3 2 2 4" xfId="112" xr:uid="{00000000-0005-0000-0000-000077000000}"/>
    <cellStyle name="Notiz 3 2 3" xfId="98" xr:uid="{00000000-0005-0000-0000-000078000000}"/>
    <cellStyle name="Notiz 3 2 3 2" xfId="141" xr:uid="{00000000-0005-0000-0000-000079000000}"/>
    <cellStyle name="Notiz 3 2 3 3" xfId="123" xr:uid="{00000000-0005-0000-0000-00007A000000}"/>
    <cellStyle name="Notiz 3 2 4" xfId="132" xr:uid="{00000000-0005-0000-0000-00007B000000}"/>
    <cellStyle name="Notiz 3 2 5" xfId="111" xr:uid="{00000000-0005-0000-0000-00007C000000}"/>
    <cellStyle name="Notiz 3 3" xfId="97" xr:uid="{00000000-0005-0000-0000-00007D000000}"/>
    <cellStyle name="Notiz 3 3 2" xfId="140" xr:uid="{00000000-0005-0000-0000-00007E000000}"/>
    <cellStyle name="Notiz 3 3 3" xfId="122" xr:uid="{00000000-0005-0000-0000-00007F000000}"/>
    <cellStyle name="Notiz 3 4" xfId="131" xr:uid="{00000000-0005-0000-0000-000080000000}"/>
    <cellStyle name="Notiz 3 5" xfId="110" xr:uid="{00000000-0005-0000-0000-000081000000}"/>
    <cellStyle name="Notiz 4" xfId="74" xr:uid="{00000000-0005-0000-0000-000082000000}"/>
    <cellStyle name="Notiz 4 2" xfId="136" xr:uid="{00000000-0005-0000-0000-000083000000}"/>
    <cellStyle name="Notiz 4 3" xfId="115" xr:uid="{00000000-0005-0000-0000-000084000000}"/>
    <cellStyle name="Prozent 2" xfId="76" xr:uid="{00000000-0005-0000-0000-000085000000}"/>
    <cellStyle name="Prozent 3" xfId="73" xr:uid="{00000000-0005-0000-0000-000086000000}"/>
    <cellStyle name="Prozent 3 2" xfId="135" xr:uid="{00000000-0005-0000-0000-000087000000}"/>
    <cellStyle name="Prozent 3 3" xfId="114" xr:uid="{00000000-0005-0000-0000-000088000000}"/>
    <cellStyle name="Prozent 4" xfId="28" xr:uid="{00000000-0005-0000-0000-000089000000}"/>
    <cellStyle name="Standard" xfId="0" builtinId="0"/>
    <cellStyle name="Standard 10" xfId="129" xr:uid="{00000000-0005-0000-0000-00008B000000}"/>
    <cellStyle name="Standard 10 2" xfId="145" xr:uid="{00000000-0005-0000-0000-00008C000000}"/>
    <cellStyle name="Standard 2" xfId="77" xr:uid="{00000000-0005-0000-0000-00008D000000}"/>
    <cellStyle name="Standard 3" xfId="78" xr:uid="{00000000-0005-0000-0000-00008E000000}"/>
    <cellStyle name="Standard 4" xfId="72" xr:uid="{00000000-0005-0000-0000-00008F000000}"/>
    <cellStyle name="Standard 4 2" xfId="134" xr:uid="{00000000-0005-0000-0000-000090000000}"/>
    <cellStyle name="Standard 4 3" xfId="113" xr:uid="{00000000-0005-0000-0000-000091000000}"/>
    <cellStyle name="Standard 5" xfId="79" xr:uid="{00000000-0005-0000-0000-000092000000}"/>
    <cellStyle name="Standard 6" xfId="127" xr:uid="{00000000-0005-0000-0000-000093000000}"/>
    <cellStyle name="Standard 7" xfId="1" xr:uid="{00000000-0005-0000-0000-000094000000}"/>
    <cellStyle name="Standard 8" xfId="52" xr:uid="{00000000-0005-0000-0000-000095000000}"/>
    <cellStyle name="Text_Eingabe" xfId="57" xr:uid="{00000000-0005-0000-0000-000096000000}"/>
    <cellStyle name="Title" xfId="29" xr:uid="{00000000-0005-0000-0000-000097000000}"/>
    <cellStyle name="Total" xfId="30" xr:uid="{00000000-0005-0000-0000-000098000000}"/>
    <cellStyle name="Total 2" xfId="92" xr:uid="{00000000-0005-0000-0000-000099000000}"/>
    <cellStyle name="Total 2 2" xfId="137" xr:uid="{00000000-0005-0000-0000-00009A000000}"/>
    <cellStyle name="Total 2 2 2" xfId="155" xr:uid="{00000000-0005-0000-0000-00009B000000}"/>
    <cellStyle name="Total 2 3" xfId="118" xr:uid="{00000000-0005-0000-0000-00009C000000}"/>
    <cellStyle name="Total 2 4" xfId="147" xr:uid="{00000000-0005-0000-0000-00009D000000}"/>
    <cellStyle name="Total 3" xfId="95" xr:uid="{00000000-0005-0000-0000-00009E000000}"/>
    <cellStyle name="Total 3 2" xfId="120" xr:uid="{00000000-0005-0000-0000-00009F000000}"/>
    <cellStyle name="Total 3 3" xfId="149" xr:uid="{00000000-0005-0000-0000-0000A0000000}"/>
    <cellStyle name="Ueberschrift" xfId="31" xr:uid="{00000000-0005-0000-0000-0000A1000000}"/>
    <cellStyle name="Zahl_Eingabe" xfId="58" xr:uid="{00000000-0005-0000-0000-0000A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ulian\Downloads\normData.xlsx" TargetMode="External"/><Relationship Id="rId1" Type="http://schemas.openxmlformats.org/officeDocument/2006/relationships/externalLinkPath" Target="normDat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ulian\Downloads\Non-domestic-multi-zone-average-usage-profiles-for-Germany_V2.xlsx" TargetMode="External"/><Relationship Id="rId1" Type="http://schemas.openxmlformats.org/officeDocument/2006/relationships/externalLinkPath" Target="Non-domestic-multi-zone-average-usage-profiles-for-Germany_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file_zuweisung_18599_10"/>
      <sheetName val="data_18599_10_4"/>
      <sheetName val="profile_zuweisung_default"/>
      <sheetName val="data_18599_10_default_avarge"/>
    </sheetNames>
    <sheetDataSet>
      <sheetData sheetId="0" refreshError="1"/>
      <sheetData sheetId="1" refreshError="1"/>
      <sheetData sheetId="2" refreshError="1"/>
      <sheetData sheetId="3">
        <row r="2">
          <cell r="A2" t="str">
            <v>Büro-, Verwaltungs- oder Amtsgebäude</v>
          </cell>
          <cell r="B2">
            <v>1</v>
          </cell>
          <cell r="C2">
            <v>20.802614610358102</v>
          </cell>
          <cell r="D2">
            <v>24.053139572238031</v>
          </cell>
          <cell r="E2">
            <v>19.900379204025931</v>
          </cell>
          <cell r="F2">
            <v>26.033088345541831</v>
          </cell>
          <cell r="G2">
            <v>5.01315474713825</v>
          </cell>
          <cell r="H2">
            <v>328.47924720912613</v>
          </cell>
          <cell r="I2">
            <v>0.94529339459607398</v>
          </cell>
          <cell r="J2">
            <v>1.25</v>
          </cell>
          <cell r="K2">
            <v>1.1176933003462188</v>
          </cell>
          <cell r="L2">
            <v>1.1940298507462686</v>
          </cell>
          <cell r="M2">
            <v>1.3493647407171647</v>
          </cell>
        </row>
        <row r="3">
          <cell r="A3" t="str">
            <v>Parlaments- oder Gerichtsgebäude</v>
          </cell>
          <cell r="B3">
            <v>2</v>
          </cell>
          <cell r="C3">
            <v>21.000000000000004</v>
          </cell>
          <cell r="D3">
            <v>24</v>
          </cell>
          <cell r="E3">
            <v>19.999999999999996</v>
          </cell>
          <cell r="F3">
            <v>26.000000000000004</v>
          </cell>
          <cell r="G3">
            <v>4.0341341341341339</v>
          </cell>
          <cell r="H3">
            <v>287.37158638504508</v>
          </cell>
          <cell r="I3">
            <v>0.94736314423272938</v>
          </cell>
          <cell r="J3">
            <v>1</v>
          </cell>
          <cell r="K3">
            <v>1.1775918580130997</v>
          </cell>
          <cell r="L3">
            <v>1.1940298507462686</v>
          </cell>
          <cell r="M3">
            <v>1.0944055407938147</v>
          </cell>
        </row>
        <row r="4">
          <cell r="A4" t="str">
            <v>Öffentliches Verwaltungs- oder Ämtergebäude, Rathaus</v>
          </cell>
          <cell r="B4">
            <v>3</v>
          </cell>
          <cell r="C4">
            <v>20.990023500920259</v>
          </cell>
          <cell r="D4">
            <v>24.005996149216248</v>
          </cell>
          <cell r="E4">
            <v>19.986926007326002</v>
          </cell>
          <cell r="F4">
            <v>26.008127605727612</v>
          </cell>
          <cell r="G4">
            <v>4.5429274642024655</v>
          </cell>
          <cell r="H4">
            <v>322.32661851087772</v>
          </cell>
          <cell r="I4">
            <v>0.93754401109812091</v>
          </cell>
          <cell r="J4">
            <v>1.2</v>
          </cell>
          <cell r="K4">
            <v>1.1362350235517331</v>
          </cell>
          <cell r="L4">
            <v>1.1940298507462686</v>
          </cell>
          <cell r="M4">
            <v>1.1460690713759225</v>
          </cell>
        </row>
        <row r="5">
          <cell r="A5" t="str">
            <v>Bürogebäude</v>
          </cell>
          <cell r="B5">
            <v>4</v>
          </cell>
          <cell r="C5">
            <v>20.654317387705849</v>
          </cell>
          <cell r="D5">
            <v>24.099088046179762</v>
          </cell>
          <cell r="E5">
            <v>19.81847563924627</v>
          </cell>
          <cell r="F5">
            <v>26.068869128356805</v>
          </cell>
          <cell r="G5">
            <v>5.04732008444822</v>
          </cell>
          <cell r="H5">
            <v>303.05153903258076</v>
          </cell>
          <cell r="I5">
            <v>0.94839314710608313</v>
          </cell>
          <cell r="J5">
            <v>1.25</v>
          </cell>
          <cell r="K5">
            <v>1.1549883254332467</v>
          </cell>
          <cell r="L5">
            <v>1.1940298507462686</v>
          </cell>
          <cell r="M5">
            <v>1.3709280060502034</v>
          </cell>
        </row>
        <row r="6">
          <cell r="A6" t="str">
            <v>Rundfunk- oder Fernsehanstalt</v>
          </cell>
          <cell r="B6">
            <v>5</v>
          </cell>
          <cell r="C6">
            <v>20.654317387705849</v>
          </cell>
          <cell r="D6">
            <v>24.099088046179762</v>
          </cell>
          <cell r="E6">
            <v>19.81847563924627</v>
          </cell>
          <cell r="F6">
            <v>26.068869128356805</v>
          </cell>
          <cell r="G6">
            <v>5.04732008444822</v>
          </cell>
          <cell r="H6">
            <v>303.05153903258076</v>
          </cell>
          <cell r="I6">
            <v>0.94839314710608313</v>
          </cell>
          <cell r="J6">
            <v>1.25</v>
          </cell>
          <cell r="K6">
            <v>1.1549883254332467</v>
          </cell>
          <cell r="L6">
            <v>1.1940298507462686</v>
          </cell>
          <cell r="M6">
            <v>1.3709280060502034</v>
          </cell>
        </row>
        <row r="7">
          <cell r="A7" t="str">
            <v>Polizeipräsidium oder -station, Bürogebäude sonstiger Bereitschaftsdienste</v>
          </cell>
          <cell r="B7">
            <v>6</v>
          </cell>
          <cell r="C7">
            <v>19.9084319068184</v>
          </cell>
          <cell r="D7">
            <v>24.295005484505943</v>
          </cell>
          <cell r="E7">
            <v>19.455880321145955</v>
          </cell>
          <cell r="F7">
            <v>26.190099924911909</v>
          </cell>
          <cell r="G7">
            <v>5.5402038785883434</v>
          </cell>
          <cell r="H7">
            <v>242.53930196222049</v>
          </cell>
          <cell r="I7">
            <v>0.96526248456667696</v>
          </cell>
          <cell r="J7">
            <v>1.5</v>
          </cell>
          <cell r="K7">
            <v>1.2404126739421804</v>
          </cell>
          <cell r="L7">
            <v>1.1940298507462686</v>
          </cell>
          <cell r="M7">
            <v>1.4440640638531876</v>
          </cell>
        </row>
        <row r="8">
          <cell r="A8" t="str">
            <v>Gebäude für Forschung und Hochschullehre</v>
          </cell>
          <cell r="B8">
            <v>7</v>
          </cell>
          <cell r="C8">
            <v>21.091626231993938</v>
          </cell>
          <cell r="D8">
            <v>24.031387414708107</v>
          </cell>
          <cell r="E8">
            <v>19.914085914085916</v>
          </cell>
          <cell r="F8">
            <v>26.039960039960036</v>
          </cell>
          <cell r="G8">
            <v>9.2837162837162843</v>
          </cell>
          <cell r="H8">
            <v>308.02918877937833</v>
          </cell>
          <cell r="I8">
            <v>0.95130830174374537</v>
          </cell>
          <cell r="J8">
            <v>1.25</v>
          </cell>
          <cell r="K8">
            <v>1.1521986353297953</v>
          </cell>
          <cell r="L8">
            <v>1.1940298507462686</v>
          </cell>
          <cell r="M8">
            <v>1.2718466641394999</v>
          </cell>
        </row>
        <row r="9">
          <cell r="A9" t="str">
            <v>Hörsaalgebäude</v>
          </cell>
          <cell r="B9">
            <v>8</v>
          </cell>
          <cell r="C9">
            <v>20.997639792579136</v>
          </cell>
          <cell r="D9">
            <v>24.004655236669993</v>
          </cell>
          <cell r="E9">
            <v>19.990647058823527</v>
          </cell>
          <cell r="F9">
            <v>26.005411764705883</v>
          </cell>
          <cell r="G9">
            <v>10.842511764705883</v>
          </cell>
          <cell r="H9">
            <v>248.763516768617</v>
          </cell>
          <cell r="I9">
            <v>0.96876747639890215</v>
          </cell>
          <cell r="J9">
            <v>1.25</v>
          </cell>
          <cell r="K9">
            <v>1.1703875176559095</v>
          </cell>
          <cell r="L9">
            <v>1.1940298507462686</v>
          </cell>
          <cell r="M9">
            <v>1.320384147411978</v>
          </cell>
        </row>
        <row r="10">
          <cell r="A10" t="str">
            <v>Verwaltungs- oder Seminargebäude</v>
          </cell>
          <cell r="B10">
            <v>9</v>
          </cell>
          <cell r="C10">
            <v>21.001147261943146</v>
          </cell>
          <cell r="D10">
            <v>24.062087116923237</v>
          </cell>
          <cell r="E10">
            <v>19.855999999999998</v>
          </cell>
          <cell r="F10">
            <v>26.08</v>
          </cell>
          <cell r="G10">
            <v>8.1978000000000009</v>
          </cell>
          <cell r="H10">
            <v>318.72886376076957</v>
          </cell>
          <cell r="I10">
            <v>0.94524441178455454</v>
          </cell>
          <cell r="J10">
            <v>1.25</v>
          </cell>
          <cell r="K10">
            <v>1.1411657081155659</v>
          </cell>
          <cell r="L10">
            <v>1.1940298507462686</v>
          </cell>
          <cell r="M10">
            <v>1.2638186951207622</v>
          </cell>
        </row>
        <row r="11">
          <cell r="A11" t="str">
            <v>Institutsgebäude für Forschung und Lehre (Labor mit geringen Anforderungen an die Raumlufttechnik, z.B. Medizin, Informatik)</v>
          </cell>
          <cell r="B11">
            <v>10</v>
          </cell>
          <cell r="C11">
            <v>21.01613300025376</v>
          </cell>
          <cell r="D11">
            <v>24.036588872657696</v>
          </cell>
          <cell r="E11">
            <v>19.900285714285712</v>
          </cell>
          <cell r="F11">
            <v>26.047154445554447</v>
          </cell>
          <cell r="G11">
            <v>9.1891631568431524</v>
          </cell>
          <cell r="H11">
            <v>307.56566727991901</v>
          </cell>
          <cell r="I11">
            <v>0.95101693537484966</v>
          </cell>
          <cell r="J11">
            <v>1.25</v>
          </cell>
          <cell r="K11">
            <v>1.1448536611076936</v>
          </cell>
          <cell r="L11">
            <v>1.1940298507462686</v>
          </cell>
          <cell r="M11">
            <v>1.2836830689943162</v>
          </cell>
        </row>
        <row r="12">
          <cell r="A12" t="str">
            <v>Institutsgebäude für Forschung und Lehre (Labor mit hohen Anforderungen an die Raumlufttechnik, z.B. Chemie, Tierforschung)</v>
          </cell>
          <cell r="B12">
            <v>11</v>
          </cell>
          <cell r="C12">
            <v>21.177214116050223</v>
          </cell>
          <cell r="D12">
            <v>24.033593484899896</v>
          </cell>
          <cell r="E12">
            <v>19.868868868868869</v>
          </cell>
          <cell r="F12">
            <v>26.04404404404405</v>
          </cell>
          <cell r="G12">
            <v>8.6904904904904914</v>
          </cell>
          <cell r="H12">
            <v>301.95261208893351</v>
          </cell>
          <cell r="I12">
            <v>0.95086347944114136</v>
          </cell>
          <cell r="J12">
            <v>1.2</v>
          </cell>
          <cell r="K12">
            <v>1.2109735766660275</v>
          </cell>
          <cell r="L12">
            <v>1.1940298507462686</v>
          </cell>
          <cell r="M12">
            <v>1.2092953777607296</v>
          </cell>
        </row>
        <row r="13">
          <cell r="A13" t="str">
            <v>Bürogebäude von Forschungsanstalten ohne Lehre</v>
          </cell>
          <cell r="B13">
            <v>12</v>
          </cell>
          <cell r="C13">
            <v>21.420991075033758</v>
          </cell>
          <cell r="D13">
            <v>23.999999999999996</v>
          </cell>
          <cell r="E13">
            <v>20.045954045954041</v>
          </cell>
          <cell r="F13">
            <v>25.999999999999996</v>
          </cell>
          <cell r="G13">
            <v>9.8848651348651337</v>
          </cell>
          <cell r="H13">
            <v>313.38988596649995</v>
          </cell>
          <cell r="I13">
            <v>0.9519435819607075</v>
          </cell>
          <cell r="J13">
            <v>1.25</v>
          </cell>
          <cell r="K13">
            <v>1.1464578605143338</v>
          </cell>
          <cell r="L13">
            <v>1.1940298507462686</v>
          </cell>
          <cell r="M13">
            <v>1.2346200971860595</v>
          </cell>
        </row>
        <row r="14">
          <cell r="A14" t="str">
            <v>Laborgebäude von Forschungsanstalten und Unternehmen (Labor mit geringen Anforderungen an die Raumlufttechnik)</v>
          </cell>
          <cell r="B14">
            <v>13</v>
          </cell>
          <cell r="C14">
            <v>21.253403665401517</v>
          </cell>
          <cell r="D14">
            <v>24.015123342916322</v>
          </cell>
          <cell r="E14">
            <v>19.919080919080923</v>
          </cell>
          <cell r="F14">
            <v>26.019980019980022</v>
          </cell>
          <cell r="G14">
            <v>9.4403596403596417</v>
          </cell>
          <cell r="H14">
            <v>302.97827571972863</v>
          </cell>
          <cell r="I14">
            <v>0.95412359497203647</v>
          </cell>
          <cell r="J14">
            <v>1.25</v>
          </cell>
          <cell r="K14">
            <v>1.1888591373849771</v>
          </cell>
          <cell r="L14">
            <v>1.1940298507462686</v>
          </cell>
          <cell r="M14">
            <v>1.2525187306620298</v>
          </cell>
        </row>
        <row r="15">
          <cell r="A15" t="str">
            <v>Laborgebäude von Forschungsanstalten und Unternehmen (Labor mit hohen Anforderungen an die Raumlufttechnik)</v>
          </cell>
          <cell r="B15">
            <v>14</v>
          </cell>
          <cell r="C15">
            <v>21.253403665401517</v>
          </cell>
          <cell r="D15">
            <v>24.015123342916322</v>
          </cell>
          <cell r="E15">
            <v>19.919080919080923</v>
          </cell>
          <cell r="F15">
            <v>26.019980019980022</v>
          </cell>
          <cell r="G15">
            <v>9.4403596403596417</v>
          </cell>
          <cell r="H15">
            <v>302.97827571972863</v>
          </cell>
          <cell r="I15">
            <v>0.95412359497203647</v>
          </cell>
          <cell r="J15">
            <v>1.25</v>
          </cell>
          <cell r="K15">
            <v>1.1888591373849771</v>
          </cell>
          <cell r="L15">
            <v>1.1940298507462686</v>
          </cell>
          <cell r="M15">
            <v>1.2525187306620298</v>
          </cell>
        </row>
        <row r="16">
          <cell r="A16" t="str">
            <v>Gebäude für Gesundheit und Pflege</v>
          </cell>
          <cell r="B16">
            <v>15</v>
          </cell>
          <cell r="C16">
            <v>21.469586184709858</v>
          </cell>
          <cell r="D16">
            <v>24.032832865348404</v>
          </cell>
          <cell r="E16">
            <v>19.998992950654586</v>
          </cell>
          <cell r="F16">
            <v>26.018126888217523</v>
          </cell>
          <cell r="G16">
            <v>6.5288016112789542</v>
          </cell>
          <cell r="H16">
            <v>295.73613145639615</v>
          </cell>
          <cell r="I16">
            <v>0.98086311206339183</v>
          </cell>
          <cell r="J16">
            <v>1.25</v>
          </cell>
          <cell r="K16">
            <v>1.0953877195338682</v>
          </cell>
          <cell r="L16">
            <v>1.1940298507462686</v>
          </cell>
          <cell r="M16">
            <v>1.2494263931011003</v>
          </cell>
        </row>
        <row r="17">
          <cell r="A17" t="str">
            <v>Hochschulklinik</v>
          </cell>
          <cell r="B17">
            <v>16</v>
          </cell>
          <cell r="C17">
            <v>21.469586184709858</v>
          </cell>
          <cell r="D17">
            <v>24.032832865348404</v>
          </cell>
          <cell r="E17">
            <v>19.998992950654586</v>
          </cell>
          <cell r="F17">
            <v>26.018126888217523</v>
          </cell>
          <cell r="G17">
            <v>6.5288016112789542</v>
          </cell>
          <cell r="H17">
            <v>295.73613145639615</v>
          </cell>
          <cell r="I17">
            <v>0.98086311206339183</v>
          </cell>
          <cell r="J17">
            <v>1.25</v>
          </cell>
          <cell r="K17">
            <v>1.0953877195338682</v>
          </cell>
          <cell r="L17">
            <v>1.1940298507462686</v>
          </cell>
          <cell r="M17">
            <v>1.2494263931011003</v>
          </cell>
        </row>
        <row r="18">
          <cell r="A18" t="str">
            <v>Krankenhaus</v>
          </cell>
          <cell r="B18">
            <v>17</v>
          </cell>
          <cell r="C18">
            <v>21.590999052413611</v>
          </cell>
          <cell r="D18">
            <v>23.999999999999996</v>
          </cell>
          <cell r="E18">
            <v>20.004487245866553</v>
          </cell>
          <cell r="F18">
            <v>25.999999999999996</v>
          </cell>
          <cell r="G18">
            <v>5.8460796744502082</v>
          </cell>
          <cell r="H18">
            <v>252.17935741541794</v>
          </cell>
          <cell r="I18">
            <v>0.9881048266093746</v>
          </cell>
          <cell r="J18">
            <v>1.25</v>
          </cell>
          <cell r="K18">
            <v>1.0905776468489248</v>
          </cell>
          <cell r="L18">
            <v>1.1940298507462686</v>
          </cell>
          <cell r="M18">
            <v>1.3026010881476693</v>
          </cell>
        </row>
        <row r="19">
          <cell r="A19" t="str">
            <v>Gebäude für teilstationäre Versorgung (z.B. Tagesklinik, Geburtshaus)</v>
          </cell>
          <cell r="B19">
            <v>18</v>
          </cell>
          <cell r="C19">
            <v>21.394565835359796</v>
          </cell>
          <cell r="D19">
            <v>24.037236124566739</v>
          </cell>
          <cell r="E19">
            <v>19.990954773869348</v>
          </cell>
          <cell r="F19">
            <v>26.018090452261312</v>
          </cell>
          <cell r="G19">
            <v>6.7240201005025133</v>
          </cell>
          <cell r="H19">
            <v>319.2927722174303</v>
          </cell>
          <cell r="I19">
            <v>0.97775042374157162</v>
          </cell>
          <cell r="J19">
            <v>1.25</v>
          </cell>
          <cell r="K19">
            <v>1.103539946830838</v>
          </cell>
          <cell r="L19">
            <v>1.1940298507462686</v>
          </cell>
          <cell r="M19">
            <v>1.2346408956223109</v>
          </cell>
        </row>
        <row r="20">
          <cell r="A20" t="str">
            <v>Rehabilitation</v>
          </cell>
          <cell r="B20">
            <v>19</v>
          </cell>
          <cell r="C20">
            <v>21.455272761821728</v>
          </cell>
          <cell r="D20">
            <v>24</v>
          </cell>
          <cell r="E20">
            <v>19.999999999999996</v>
          </cell>
          <cell r="F20">
            <v>26.000000000000004</v>
          </cell>
          <cell r="G20">
            <v>9.1168195718654435</v>
          </cell>
          <cell r="H20">
            <v>300.19840271839666</v>
          </cell>
          <cell r="I20">
            <v>0.97522229487673873</v>
          </cell>
          <cell r="J20">
            <v>1.25</v>
          </cell>
          <cell r="K20">
            <v>1.0353492167284228</v>
          </cell>
          <cell r="L20">
            <v>1.1940298507462686</v>
          </cell>
          <cell r="M20">
            <v>1.2380071145538172</v>
          </cell>
        </row>
        <row r="21">
          <cell r="A21" t="str">
            <v>Kur und Genesung</v>
          </cell>
          <cell r="B21">
            <v>20</v>
          </cell>
          <cell r="C21">
            <v>21.368593330102726</v>
          </cell>
          <cell r="D21">
            <v>24.303468509012415</v>
          </cell>
          <cell r="E21">
            <v>20.07232767232767</v>
          </cell>
          <cell r="F21">
            <v>26.160728160728166</v>
          </cell>
          <cell r="G21">
            <v>7.2694331594331585</v>
          </cell>
          <cell r="H21">
            <v>277.61789408181744</v>
          </cell>
          <cell r="I21">
            <v>0.97676604617592855</v>
          </cell>
          <cell r="J21">
            <v>1.2</v>
          </cell>
          <cell r="K21">
            <v>1.0424316253031067</v>
          </cell>
          <cell r="L21">
            <v>1.1940298507462686</v>
          </cell>
          <cell r="M21">
            <v>1.1904146498163384</v>
          </cell>
        </row>
        <row r="22">
          <cell r="A22" t="str">
            <v>Medizinisches Versorgungszentrum, Ärztehaus</v>
          </cell>
          <cell r="B22">
            <v>21</v>
          </cell>
          <cell r="C22">
            <v>21.394565835359796</v>
          </cell>
          <cell r="D22">
            <v>24.037236124566739</v>
          </cell>
          <cell r="E22">
            <v>19.990954773869348</v>
          </cell>
          <cell r="F22">
            <v>26.018090452261312</v>
          </cell>
          <cell r="G22">
            <v>6.7240201005025133</v>
          </cell>
          <cell r="H22">
            <v>319.2927722174303</v>
          </cell>
          <cell r="I22">
            <v>0.97775042374157162</v>
          </cell>
          <cell r="J22">
            <v>1.25</v>
          </cell>
          <cell r="K22">
            <v>1.103539946830838</v>
          </cell>
          <cell r="L22">
            <v>1.1940298507462686</v>
          </cell>
          <cell r="M22">
            <v>1.2346408956223109</v>
          </cell>
        </row>
        <row r="23">
          <cell r="A23" t="str">
            <v>Arztpraxis</v>
          </cell>
          <cell r="B23">
            <v>22</v>
          </cell>
          <cell r="C23">
            <v>21.394565835359796</v>
          </cell>
          <cell r="D23">
            <v>24.037236124566739</v>
          </cell>
          <cell r="E23">
            <v>19.990954773869348</v>
          </cell>
          <cell r="F23">
            <v>26.018090452261312</v>
          </cell>
          <cell r="G23">
            <v>6.7240201005025133</v>
          </cell>
          <cell r="H23">
            <v>319.2927722174303</v>
          </cell>
          <cell r="I23">
            <v>0.97775042374157162</v>
          </cell>
          <cell r="J23">
            <v>1.25</v>
          </cell>
          <cell r="K23">
            <v>1.103539946830838</v>
          </cell>
          <cell r="L23">
            <v>1.1940298507462686</v>
          </cell>
          <cell r="M23">
            <v>1.2346408956223109</v>
          </cell>
        </row>
        <row r="24">
          <cell r="A24" t="str">
            <v>Notfallpraxis</v>
          </cell>
          <cell r="B24">
            <v>23</v>
          </cell>
          <cell r="C24">
            <v>21.394565835359796</v>
          </cell>
          <cell r="D24">
            <v>24.037236124566739</v>
          </cell>
          <cell r="E24">
            <v>19.990954773869348</v>
          </cell>
          <cell r="F24">
            <v>26.018090452261312</v>
          </cell>
          <cell r="G24">
            <v>6.7240201005025133</v>
          </cell>
          <cell r="H24">
            <v>319.2927722174303</v>
          </cell>
          <cell r="I24">
            <v>0.97775042374157162</v>
          </cell>
          <cell r="J24">
            <v>1.25</v>
          </cell>
          <cell r="K24">
            <v>1.103539946830838</v>
          </cell>
          <cell r="L24">
            <v>1.1940298507462686</v>
          </cell>
          <cell r="M24">
            <v>1.2346408956223109</v>
          </cell>
        </row>
        <row r="25">
          <cell r="A25" t="str">
            <v>Altenheim/Altenpflegeheim (ohne eigene Haushaltsführung der Bewohner/innen)</v>
          </cell>
          <cell r="B25">
            <v>24</v>
          </cell>
          <cell r="C25">
            <v>21.455743239002079</v>
          </cell>
          <cell r="D25">
            <v>24.02912692425144</v>
          </cell>
          <cell r="E25">
            <v>19.99326744572274</v>
          </cell>
          <cell r="F25">
            <v>26.016441706676339</v>
          </cell>
          <cell r="G25">
            <v>6.2490171392336258</v>
          </cell>
          <cell r="H25">
            <v>287.60670175792819</v>
          </cell>
          <cell r="I25">
            <v>0.98077964900573067</v>
          </cell>
          <cell r="J25">
            <v>1.25</v>
          </cell>
          <cell r="K25">
            <v>1.085847110017236</v>
          </cell>
          <cell r="L25">
            <v>1.1940298507462686</v>
          </cell>
          <cell r="M25">
            <v>1.2663935340803809</v>
          </cell>
        </row>
        <row r="26">
          <cell r="A26" t="str">
            <v>Pflegeheim für Behinderte (ohne eigene Haushaltsführung der Bewohner/innen)</v>
          </cell>
          <cell r="B26">
            <v>25</v>
          </cell>
          <cell r="C26">
            <v>21.455743239002079</v>
          </cell>
          <cell r="D26">
            <v>24.02912692425144</v>
          </cell>
          <cell r="E26">
            <v>19.99326744572274</v>
          </cell>
          <cell r="F26">
            <v>26.016441706676339</v>
          </cell>
          <cell r="G26">
            <v>6.2490171392336258</v>
          </cell>
          <cell r="H26">
            <v>287.60670175792819</v>
          </cell>
          <cell r="I26">
            <v>0.98077964900573067</v>
          </cell>
          <cell r="J26">
            <v>1.25</v>
          </cell>
          <cell r="K26">
            <v>1.085847110017236</v>
          </cell>
          <cell r="L26">
            <v>1.1940298507462686</v>
          </cell>
          <cell r="M26">
            <v>1.2663935340803809</v>
          </cell>
        </row>
        <row r="27">
          <cell r="A27" t="str">
            <v>Psychiatrische Pflegeheim (ohne eigene Haushaltsführung der Bewohner/innen)</v>
          </cell>
          <cell r="B27">
            <v>26</v>
          </cell>
          <cell r="C27">
            <v>21.455743239002079</v>
          </cell>
          <cell r="D27">
            <v>24.02912692425144</v>
          </cell>
          <cell r="E27">
            <v>19.99326744572274</v>
          </cell>
          <cell r="F27">
            <v>26.016441706676339</v>
          </cell>
          <cell r="G27">
            <v>6.2490171392336258</v>
          </cell>
          <cell r="H27">
            <v>287.60670175792819</v>
          </cell>
          <cell r="I27">
            <v>0.98077964900573067</v>
          </cell>
          <cell r="J27">
            <v>1.25</v>
          </cell>
          <cell r="K27">
            <v>1.085847110017236</v>
          </cell>
          <cell r="L27">
            <v>1.1940298507462686</v>
          </cell>
          <cell r="M27">
            <v>1.2663935340803809</v>
          </cell>
        </row>
        <row r="28">
          <cell r="A28" t="str">
            <v>Tagespflegeeinrichtung</v>
          </cell>
          <cell r="B28">
            <v>27</v>
          </cell>
          <cell r="C28">
            <v>21.455743239002079</v>
          </cell>
          <cell r="D28">
            <v>24.02912692425144</v>
          </cell>
          <cell r="E28">
            <v>19.99326744572274</v>
          </cell>
          <cell r="F28">
            <v>26.016441706676339</v>
          </cell>
          <cell r="G28">
            <v>6.2490171392336258</v>
          </cell>
          <cell r="H28">
            <v>287.60670175792819</v>
          </cell>
          <cell r="I28">
            <v>0.98077964900573067</v>
          </cell>
          <cell r="J28">
            <v>1.25</v>
          </cell>
          <cell r="K28">
            <v>1.085847110017236</v>
          </cell>
          <cell r="L28">
            <v>1.1940298507462686</v>
          </cell>
          <cell r="M28">
            <v>1.2663935340803809</v>
          </cell>
        </row>
        <row r="29">
          <cell r="A29" t="str">
            <v>Hospiz</v>
          </cell>
          <cell r="B29">
            <v>28</v>
          </cell>
          <cell r="C29">
            <v>21.455743239002079</v>
          </cell>
          <cell r="D29">
            <v>24.02912692425144</v>
          </cell>
          <cell r="E29">
            <v>19.99326744572274</v>
          </cell>
          <cell r="F29">
            <v>26.016441706676339</v>
          </cell>
          <cell r="G29">
            <v>6.2490171392336258</v>
          </cell>
          <cell r="H29">
            <v>287.60670175792819</v>
          </cell>
          <cell r="I29">
            <v>0.98077964900573067</v>
          </cell>
          <cell r="J29">
            <v>1.25</v>
          </cell>
          <cell r="K29">
            <v>1.085847110017236</v>
          </cell>
          <cell r="L29">
            <v>1.1940298507462686</v>
          </cell>
          <cell r="M29">
            <v>1.2663935340803809</v>
          </cell>
        </row>
        <row r="30">
          <cell r="A30" t="str">
            <v>Schule, Kindertagesstätte und sonstiges Betreuungsgebäude</v>
          </cell>
          <cell r="B30">
            <v>29</v>
          </cell>
          <cell r="C30">
            <v>20.955535757118877</v>
          </cell>
          <cell r="D30">
            <v>24.007566048726996</v>
          </cell>
          <cell r="E30">
            <v>19.989959839357425</v>
          </cell>
          <cell r="F30">
            <v>26.008032128514056</v>
          </cell>
          <cell r="G30">
            <v>7.7377008032128485</v>
          </cell>
          <cell r="H30">
            <v>228.88942192372272</v>
          </cell>
          <cell r="I30">
            <v>0.97570686130052897</v>
          </cell>
          <cell r="J30">
            <v>1.5</v>
          </cell>
          <cell r="K30">
            <v>1.0727683925573108</v>
          </cell>
          <cell r="L30">
            <v>1.1940298507462686</v>
          </cell>
          <cell r="M30">
            <v>1.3971598761836226</v>
          </cell>
        </row>
        <row r="31">
          <cell r="A31" t="str">
            <v>Schule, allgemein</v>
          </cell>
          <cell r="B31">
            <v>30</v>
          </cell>
          <cell r="C31">
            <v>20.940436638659335</v>
          </cell>
          <cell r="D31">
            <v>24.002871062702788</v>
          </cell>
          <cell r="E31">
            <v>19.996228956228954</v>
          </cell>
          <cell r="F31">
            <v>26.003016835016833</v>
          </cell>
          <cell r="G31">
            <v>7.3468538720538712</v>
          </cell>
          <cell r="H31">
            <v>226.15893663066041</v>
          </cell>
          <cell r="I31">
            <v>0.9772228514599911</v>
          </cell>
          <cell r="J31">
            <v>1.5</v>
          </cell>
          <cell r="K31">
            <v>1.0806724984347122</v>
          </cell>
          <cell r="L31">
            <v>1.1940298507462686</v>
          </cell>
          <cell r="M31">
            <v>1.4095700973634475</v>
          </cell>
        </row>
        <row r="32">
          <cell r="A32" t="str">
            <v>Ganztagesschule</v>
          </cell>
          <cell r="B32">
            <v>31</v>
          </cell>
          <cell r="C32">
            <v>20.575524008022331</v>
          </cell>
          <cell r="D32">
            <v>24</v>
          </cell>
          <cell r="E32">
            <v>19.992000000000001</v>
          </cell>
          <cell r="F32">
            <v>26</v>
          </cell>
          <cell r="G32">
            <v>5.4001000000000001</v>
          </cell>
          <cell r="H32">
            <v>210.33465728105705</v>
          </cell>
          <cell r="I32">
            <v>0.98676530732628098</v>
          </cell>
          <cell r="J32">
            <v>1.5</v>
          </cell>
          <cell r="K32">
            <v>1.0205474065043845</v>
          </cell>
          <cell r="L32">
            <v>1.1940298507462686</v>
          </cell>
          <cell r="M32">
            <v>1.6349394392229344</v>
          </cell>
        </row>
        <row r="33">
          <cell r="A33" t="str">
            <v>Internatsschule</v>
          </cell>
          <cell r="B33">
            <v>32</v>
          </cell>
          <cell r="C33">
            <v>20.940436638659335</v>
          </cell>
          <cell r="D33">
            <v>24.002871062702788</v>
          </cell>
          <cell r="E33">
            <v>19.996228956228954</v>
          </cell>
          <cell r="F33">
            <v>26.003016835016833</v>
          </cell>
          <cell r="G33">
            <v>7.3468538720538712</v>
          </cell>
          <cell r="H33">
            <v>226.15893663066041</v>
          </cell>
          <cell r="I33">
            <v>0.9772228514599911</v>
          </cell>
          <cell r="J33">
            <v>1.5</v>
          </cell>
          <cell r="K33">
            <v>1.0806724984347122</v>
          </cell>
          <cell r="L33">
            <v>1.1940298507462686</v>
          </cell>
          <cell r="M33">
            <v>1.4095700973634475</v>
          </cell>
        </row>
        <row r="34">
          <cell r="A34" t="str">
            <v>Förder-, Sonderschule</v>
          </cell>
          <cell r="B34">
            <v>33</v>
          </cell>
          <cell r="C34">
            <v>20.940436638659335</v>
          </cell>
          <cell r="D34">
            <v>24.002871062702788</v>
          </cell>
          <cell r="E34">
            <v>19.996228956228954</v>
          </cell>
          <cell r="F34">
            <v>26.003016835016833</v>
          </cell>
          <cell r="G34">
            <v>7.3468538720538712</v>
          </cell>
          <cell r="H34">
            <v>226.15893663066041</v>
          </cell>
          <cell r="I34">
            <v>0.9772228514599911</v>
          </cell>
          <cell r="J34">
            <v>1.5</v>
          </cell>
          <cell r="K34">
            <v>1.0806724984347122</v>
          </cell>
          <cell r="L34">
            <v>1.1940298507462686</v>
          </cell>
          <cell r="M34">
            <v>1.4095700973634475</v>
          </cell>
        </row>
        <row r="35">
          <cell r="A35" t="str">
            <v>Berufsbildende Schule (gewerblich, wirtschaftlich)</v>
          </cell>
          <cell r="B35">
            <v>34</v>
          </cell>
          <cell r="C35">
            <v>20.905329212970532</v>
          </cell>
          <cell r="D35">
            <v>24.08552909073693</v>
          </cell>
          <cell r="E35">
            <v>19.871871871871868</v>
          </cell>
          <cell r="F35">
            <v>26.096096096096094</v>
          </cell>
          <cell r="G35">
            <v>8.4471471471471471</v>
          </cell>
          <cell r="H35">
            <v>265.48751409560043</v>
          </cell>
          <cell r="I35">
            <v>0.96534896833116679</v>
          </cell>
          <cell r="J35">
            <v>1.5</v>
          </cell>
          <cell r="K35">
            <v>1.0437932014013824</v>
          </cell>
          <cell r="L35">
            <v>1.1940298507462686</v>
          </cell>
          <cell r="M35">
            <v>1.4230918215389381</v>
          </cell>
        </row>
        <row r="36">
          <cell r="A36" t="str">
            <v>Berufsbildende Schule (mit höherer technischer Ausstattung, z.B. Werkstätten)</v>
          </cell>
          <cell r="B36">
            <v>35</v>
          </cell>
          <cell r="C36">
            <v>20.905329212970532</v>
          </cell>
          <cell r="D36">
            <v>24.08552909073693</v>
          </cell>
          <cell r="E36">
            <v>19.871871871871868</v>
          </cell>
          <cell r="F36">
            <v>26.096096096096094</v>
          </cell>
          <cell r="G36">
            <v>8.4471471471471471</v>
          </cell>
          <cell r="H36">
            <v>265.48751409560043</v>
          </cell>
          <cell r="I36">
            <v>0.96534896833116679</v>
          </cell>
          <cell r="J36">
            <v>1.5</v>
          </cell>
          <cell r="K36">
            <v>1.0437932014013824</v>
          </cell>
          <cell r="L36">
            <v>1.1940298507462686</v>
          </cell>
          <cell r="M36">
            <v>1.4230918215389381</v>
          </cell>
        </row>
        <row r="37">
          <cell r="A37" t="str">
            <v>Berufsakademie, Berufskolleg</v>
          </cell>
          <cell r="B37">
            <v>36</v>
          </cell>
          <cell r="C37">
            <v>20.905329212970532</v>
          </cell>
          <cell r="D37">
            <v>24.08552909073693</v>
          </cell>
          <cell r="E37">
            <v>19.871871871871868</v>
          </cell>
          <cell r="F37">
            <v>26.096096096096094</v>
          </cell>
          <cell r="G37">
            <v>8.4471471471471471</v>
          </cell>
          <cell r="H37">
            <v>265.48751409560043</v>
          </cell>
          <cell r="I37">
            <v>0.96534896833116679</v>
          </cell>
          <cell r="J37">
            <v>1.5</v>
          </cell>
          <cell r="K37">
            <v>1.0437932014013824</v>
          </cell>
          <cell r="L37">
            <v>1.1940298507462686</v>
          </cell>
          <cell r="M37">
            <v>1.4230918215389381</v>
          </cell>
        </row>
        <row r="38">
          <cell r="A38" t="str">
            <v>Bildungszentrum</v>
          </cell>
          <cell r="B38">
            <v>37</v>
          </cell>
          <cell r="C38">
            <v>20.905329212970532</v>
          </cell>
          <cell r="D38">
            <v>24.08552909073693</v>
          </cell>
          <cell r="E38">
            <v>19.871871871871868</v>
          </cell>
          <cell r="F38">
            <v>26.096096096096094</v>
          </cell>
          <cell r="G38">
            <v>8.4471471471471471</v>
          </cell>
          <cell r="H38">
            <v>265.48751409560043</v>
          </cell>
          <cell r="I38">
            <v>0.96534896833116679</v>
          </cell>
          <cell r="J38">
            <v>1.5</v>
          </cell>
          <cell r="K38">
            <v>1.0437932014013824</v>
          </cell>
          <cell r="L38">
            <v>1.1940298507462686</v>
          </cell>
          <cell r="M38">
            <v>1.4230918215389381</v>
          </cell>
        </row>
        <row r="39">
          <cell r="A39" t="str">
            <v>Ausbildungsstätte</v>
          </cell>
          <cell r="B39">
            <v>38</v>
          </cell>
          <cell r="C39">
            <v>20.905329212970532</v>
          </cell>
          <cell r="D39">
            <v>24.08552909073693</v>
          </cell>
          <cell r="E39">
            <v>19.871871871871868</v>
          </cell>
          <cell r="F39">
            <v>26.096096096096094</v>
          </cell>
          <cell r="G39">
            <v>8.4471471471471471</v>
          </cell>
          <cell r="H39">
            <v>265.48751409560043</v>
          </cell>
          <cell r="I39">
            <v>0.96534896833116679</v>
          </cell>
          <cell r="J39">
            <v>1.5</v>
          </cell>
          <cell r="K39">
            <v>1.0437932014013824</v>
          </cell>
          <cell r="L39">
            <v>1.1940298507462686</v>
          </cell>
          <cell r="M39">
            <v>1.4230918215389381</v>
          </cell>
        </row>
        <row r="40">
          <cell r="A40" t="str">
            <v>Volkshochschule</v>
          </cell>
          <cell r="B40">
            <v>39</v>
          </cell>
          <cell r="C40">
            <v>21.002168034499334</v>
          </cell>
          <cell r="D40">
            <v>24</v>
          </cell>
          <cell r="E40">
            <v>19.999999999999993</v>
          </cell>
          <cell r="F40">
            <v>25.999999999999996</v>
          </cell>
          <cell r="G40">
            <v>7.7433433433433398</v>
          </cell>
          <cell r="H40">
            <v>269.13073642219115</v>
          </cell>
          <cell r="I40">
            <v>0.96462161885165121</v>
          </cell>
          <cell r="J40">
            <v>1.25</v>
          </cell>
          <cell r="K40">
            <v>1.079038654084183</v>
          </cell>
          <cell r="L40">
            <v>1.1940298507462686</v>
          </cell>
          <cell r="M40">
            <v>1.3209883478000359</v>
          </cell>
        </row>
        <row r="41">
          <cell r="A41" t="str">
            <v>KiTa</v>
          </cell>
          <cell r="B41">
            <v>40</v>
          </cell>
          <cell r="C41">
            <v>20.992158763408934</v>
          </cell>
          <cell r="D41">
            <v>23.999999999999996</v>
          </cell>
          <cell r="E41">
            <v>19.999999999999993</v>
          </cell>
          <cell r="F41">
            <v>25.999999999999996</v>
          </cell>
          <cell r="G41">
            <v>8.0333214091834755</v>
          </cell>
          <cell r="H41">
            <v>229.22923389825812</v>
          </cell>
          <cell r="I41">
            <v>0.97537561737559819</v>
          </cell>
          <cell r="J41">
            <v>1.5</v>
          </cell>
          <cell r="K41">
            <v>1.0654460572260602</v>
          </cell>
          <cell r="L41">
            <v>1.1940298507462686</v>
          </cell>
          <cell r="M41">
            <v>1.3761022782305383</v>
          </cell>
        </row>
        <row r="42">
          <cell r="A42" t="str">
            <v>KiTa mit Küche</v>
          </cell>
          <cell r="B42">
            <v>41</v>
          </cell>
          <cell r="C42">
            <v>20.992158763408934</v>
          </cell>
          <cell r="D42">
            <v>23.999999999999996</v>
          </cell>
          <cell r="E42">
            <v>19.999999999999993</v>
          </cell>
          <cell r="F42">
            <v>25.999999999999996</v>
          </cell>
          <cell r="G42">
            <v>8.0333214091834755</v>
          </cell>
          <cell r="H42">
            <v>229.22923389825812</v>
          </cell>
          <cell r="I42">
            <v>0.97537561737559819</v>
          </cell>
          <cell r="J42">
            <v>1.5</v>
          </cell>
          <cell r="K42">
            <v>1.0654460572260602</v>
          </cell>
          <cell r="L42">
            <v>1.1940298507462686</v>
          </cell>
          <cell r="M42">
            <v>1.3761022782305383</v>
          </cell>
        </row>
        <row r="43">
          <cell r="A43" t="str">
            <v>Studentenhaus</v>
          </cell>
          <cell r="B43">
            <v>42</v>
          </cell>
          <cell r="C43">
            <v>21.055954474012164</v>
          </cell>
          <cell r="D43">
            <v>24.039445607402435</v>
          </cell>
          <cell r="E43">
            <v>20.003138121033029</v>
          </cell>
          <cell r="F43">
            <v>26.023952375558757</v>
          </cell>
          <cell r="G43">
            <v>6.5352055290967259</v>
          </cell>
          <cell r="H43">
            <v>206.06034028022665</v>
          </cell>
          <cell r="I43">
            <v>0.99270506291374916</v>
          </cell>
          <cell r="J43">
            <v>1.25</v>
          </cell>
          <cell r="K43">
            <v>1.0487274416786074</v>
          </cell>
          <cell r="L43">
            <v>1.1940298507462686</v>
          </cell>
          <cell r="M43">
            <v>1.3367739827705531</v>
          </cell>
        </row>
        <row r="44">
          <cell r="A44" t="str">
            <v>Altentagesstätte</v>
          </cell>
          <cell r="B44">
            <v>43</v>
          </cell>
          <cell r="C44">
            <v>20.953208634842035</v>
          </cell>
          <cell r="D44">
            <v>24.000000000000007</v>
          </cell>
          <cell r="E44">
            <v>19.997989949748735</v>
          </cell>
          <cell r="F44">
            <v>26.000000000000004</v>
          </cell>
          <cell r="G44">
            <v>11.662060301507536</v>
          </cell>
          <cell r="H44">
            <v>284.33971256434455</v>
          </cell>
          <cell r="I44">
            <v>0.95968172833552023</v>
          </cell>
          <cell r="J44">
            <v>1.5</v>
          </cell>
          <cell r="K44">
            <v>1.0919004209570937</v>
          </cell>
          <cell r="L44">
            <v>1.1940298507462686</v>
          </cell>
          <cell r="M44">
            <v>1.4797524764695051</v>
          </cell>
        </row>
        <row r="45">
          <cell r="A45" t="str">
            <v>Jugendzentrum</v>
          </cell>
          <cell r="B45">
            <v>44</v>
          </cell>
          <cell r="C45">
            <v>20.953208634842035</v>
          </cell>
          <cell r="D45">
            <v>24.000000000000007</v>
          </cell>
          <cell r="E45">
            <v>19.997989949748735</v>
          </cell>
          <cell r="F45">
            <v>26.000000000000004</v>
          </cell>
          <cell r="G45">
            <v>11.662060301507536</v>
          </cell>
          <cell r="H45">
            <v>284.33971256434455</v>
          </cell>
          <cell r="I45">
            <v>0.95968172833552023</v>
          </cell>
          <cell r="J45">
            <v>1.5</v>
          </cell>
          <cell r="K45">
            <v>1.0919004209570937</v>
          </cell>
          <cell r="L45">
            <v>1.1940298507462686</v>
          </cell>
          <cell r="M45">
            <v>1.4797524764695051</v>
          </cell>
        </row>
        <row r="46">
          <cell r="A46" t="str">
            <v>Gebäude für Kultur und Freizeit</v>
          </cell>
          <cell r="B46">
            <v>45</v>
          </cell>
          <cell r="C46">
            <v>20.960829970813858</v>
          </cell>
          <cell r="D46">
            <v>24</v>
          </cell>
          <cell r="E46">
            <v>19.985685071574636</v>
          </cell>
          <cell r="F46">
            <v>25.999999999999996</v>
          </cell>
          <cell r="G46">
            <v>8.6167177914110447</v>
          </cell>
          <cell r="H46">
            <v>268.12969490119781</v>
          </cell>
          <cell r="I46">
            <v>0.95540581489928378</v>
          </cell>
          <cell r="J46">
            <v>1.5</v>
          </cell>
          <cell r="K46">
            <v>1.1743791965040433</v>
          </cell>
          <cell r="L46">
            <v>1.1940298507462686</v>
          </cell>
          <cell r="M46">
            <v>1.5208240299197775</v>
          </cell>
        </row>
        <row r="47">
          <cell r="A47" t="str">
            <v>Bibliothek/Archiv (einfach, z.B. Stadtbücherei)</v>
          </cell>
          <cell r="B47">
            <v>46</v>
          </cell>
          <cell r="C47">
            <v>20.994364377885013</v>
          </cell>
          <cell r="D47">
            <v>23.999999999999996</v>
          </cell>
          <cell r="E47">
            <v>19.982017982017982</v>
          </cell>
          <cell r="F47">
            <v>26.000000000000004</v>
          </cell>
          <cell r="G47">
            <v>4.286863136863138</v>
          </cell>
          <cell r="H47">
            <v>278.1912242971045</v>
          </cell>
          <cell r="I47">
            <v>0.95248668957196803</v>
          </cell>
          <cell r="J47">
            <v>1.25</v>
          </cell>
          <cell r="K47">
            <v>1.3534672681493913</v>
          </cell>
          <cell r="L47">
            <v>1.1940298507462686</v>
          </cell>
          <cell r="M47">
            <v>1.347574289236257</v>
          </cell>
        </row>
        <row r="48">
          <cell r="A48" t="str">
            <v>Bibliothek/Archiv (höher technisiert, z.B. Unibibliothek)</v>
          </cell>
          <cell r="B48">
            <v>47</v>
          </cell>
          <cell r="C48">
            <v>20.994364377885013</v>
          </cell>
          <cell r="D48">
            <v>23.999999999999996</v>
          </cell>
          <cell r="E48">
            <v>19.982017982017982</v>
          </cell>
          <cell r="F48">
            <v>26.000000000000004</v>
          </cell>
          <cell r="G48">
            <v>4.286863136863138</v>
          </cell>
          <cell r="H48">
            <v>278.1912242971045</v>
          </cell>
          <cell r="I48">
            <v>0.95248668957196803</v>
          </cell>
          <cell r="J48">
            <v>1.25</v>
          </cell>
          <cell r="K48">
            <v>1.3534672681493913</v>
          </cell>
          <cell r="L48">
            <v>1.1940298507462686</v>
          </cell>
          <cell r="M48">
            <v>1.347574289236257</v>
          </cell>
        </row>
        <row r="49">
          <cell r="A49" t="str">
            <v>Ausstellungsgebäude (Museen, Galerien)</v>
          </cell>
          <cell r="B49">
            <v>48</v>
          </cell>
          <cell r="C49">
            <v>20.674081832005719</v>
          </cell>
          <cell r="D49">
            <v>24.070573307418854</v>
          </cell>
          <cell r="E49">
            <v>19.899598393574301</v>
          </cell>
          <cell r="F49">
            <v>26.020080321285143</v>
          </cell>
          <cell r="G49">
            <v>4.6100401606425701</v>
          </cell>
          <cell r="H49">
            <v>218.32609943505093</v>
          </cell>
          <cell r="I49">
            <v>0.94159817121680534</v>
          </cell>
          <cell r="J49">
            <v>1.5</v>
          </cell>
          <cell r="K49">
            <v>1.1669630718723876</v>
          </cell>
          <cell r="L49">
            <v>1.1940298507462686</v>
          </cell>
          <cell r="M49">
            <v>1.6224594918480171</v>
          </cell>
        </row>
        <row r="50">
          <cell r="A50" t="str">
            <v>Oper, Theater und Veranstaltungshalle, Kino, Konferenzzentrum</v>
          </cell>
          <cell r="B50">
            <v>49</v>
          </cell>
          <cell r="C50">
            <v>20.946699238618208</v>
          </cell>
          <cell r="D50">
            <v>24.010321713893802</v>
          </cell>
          <cell r="E50">
            <v>19.967134514040136</v>
          </cell>
          <cell r="F50">
            <v>26.012136650472069</v>
          </cell>
          <cell r="G50">
            <v>11.035283572935132</v>
          </cell>
          <cell r="H50">
            <v>284.85381639103809</v>
          </cell>
          <cell r="I50">
            <v>0.9647103599828224</v>
          </cell>
          <cell r="J50">
            <v>1.5</v>
          </cell>
          <cell r="K50">
            <v>1.1762170107257612</v>
          </cell>
          <cell r="L50">
            <v>1.1940298507462686</v>
          </cell>
          <cell r="M50">
            <v>1.5919764925982165</v>
          </cell>
        </row>
        <row r="51">
          <cell r="A51" t="str">
            <v>Freizeit-, Gemeinschafts-, Bürgerhaus</v>
          </cell>
          <cell r="B51">
            <v>50</v>
          </cell>
          <cell r="C51">
            <v>20.953208634842035</v>
          </cell>
          <cell r="D51">
            <v>24.000000000000007</v>
          </cell>
          <cell r="E51">
            <v>19.997989949748735</v>
          </cell>
          <cell r="F51">
            <v>26.000000000000004</v>
          </cell>
          <cell r="G51">
            <v>11.662060301507536</v>
          </cell>
          <cell r="H51">
            <v>284.33971256434455</v>
          </cell>
          <cell r="I51">
            <v>0.95968172833552023</v>
          </cell>
          <cell r="J51">
            <v>1.5</v>
          </cell>
          <cell r="K51">
            <v>1.0919004209570937</v>
          </cell>
          <cell r="L51">
            <v>1.1940298507462686</v>
          </cell>
          <cell r="M51">
            <v>1.4797524764695051</v>
          </cell>
        </row>
        <row r="52">
          <cell r="A52" t="str">
            <v>Spielkasino, -bank, -halle</v>
          </cell>
          <cell r="B52">
            <v>51</v>
          </cell>
          <cell r="C52">
            <v>20.953208634842035</v>
          </cell>
          <cell r="D52">
            <v>24.000000000000007</v>
          </cell>
          <cell r="E52">
            <v>19.997989949748735</v>
          </cell>
          <cell r="F52">
            <v>26.000000000000004</v>
          </cell>
          <cell r="G52">
            <v>11.662060301507536</v>
          </cell>
          <cell r="H52">
            <v>284.33971256434455</v>
          </cell>
          <cell r="I52">
            <v>0.95968172833552023</v>
          </cell>
          <cell r="J52">
            <v>1.5</v>
          </cell>
          <cell r="K52">
            <v>1.0919004209570937</v>
          </cell>
          <cell r="L52">
            <v>1.1940298507462686</v>
          </cell>
          <cell r="M52">
            <v>1.4797524764695051</v>
          </cell>
        </row>
        <row r="53">
          <cell r="A53" t="str">
            <v>Sportgebäude</v>
          </cell>
          <cell r="B53">
            <v>52</v>
          </cell>
          <cell r="C53">
            <v>20.097221534644181</v>
          </cell>
          <cell r="D53">
            <v>24.136671512216637</v>
          </cell>
          <cell r="E53">
            <v>19.927</v>
          </cell>
          <cell r="F53">
            <v>26.077999999999999</v>
          </cell>
          <cell r="G53">
            <v>5.7723499999999994</v>
          </cell>
          <cell r="H53">
            <v>252.11201471367005</v>
          </cell>
          <cell r="I53">
            <v>0.99187192746376729</v>
          </cell>
          <cell r="J53">
            <v>1.5</v>
          </cell>
          <cell r="K53">
            <v>1.0961909176691556</v>
          </cell>
          <cell r="L53">
            <v>1.1940298507462686</v>
          </cell>
          <cell r="M53">
            <v>1.6479656190977678</v>
          </cell>
        </row>
        <row r="54">
          <cell r="A54" t="str">
            <v>Einfeldhalle</v>
          </cell>
          <cell r="B54">
            <v>53</v>
          </cell>
          <cell r="C54">
            <v>19.721384003516565</v>
          </cell>
          <cell r="D54">
            <v>24.042054791848884</v>
          </cell>
          <cell r="E54">
            <v>20.006006006006004</v>
          </cell>
          <cell r="F54">
            <v>26.024024024024026</v>
          </cell>
          <cell r="G54">
            <v>4.59049049049049</v>
          </cell>
          <cell r="H54">
            <v>254.70108422510233</v>
          </cell>
          <cell r="I54">
            <v>0.99572866017861872</v>
          </cell>
          <cell r="J54">
            <v>1.5</v>
          </cell>
          <cell r="K54">
            <v>1.080037926125069</v>
          </cell>
          <cell r="L54">
            <v>1.1940298507462686</v>
          </cell>
          <cell r="M54">
            <v>1.704161222037359</v>
          </cell>
        </row>
        <row r="55">
          <cell r="A55" t="str">
            <v>Mehrfeldhalle</v>
          </cell>
          <cell r="B55">
            <v>54</v>
          </cell>
          <cell r="C55">
            <v>19.721384003516565</v>
          </cell>
          <cell r="D55">
            <v>24.042054791848884</v>
          </cell>
          <cell r="E55">
            <v>20.006006006006004</v>
          </cell>
          <cell r="F55">
            <v>26.024024024024026</v>
          </cell>
          <cell r="G55">
            <v>4.59049049049049</v>
          </cell>
          <cell r="H55">
            <v>254.70108422510233</v>
          </cell>
          <cell r="I55">
            <v>0.99572866017861872</v>
          </cell>
          <cell r="J55">
            <v>1.5</v>
          </cell>
          <cell r="K55">
            <v>1.080037926125069</v>
          </cell>
          <cell r="L55">
            <v>1.1940298507462686</v>
          </cell>
          <cell r="M55">
            <v>1.704161222037359</v>
          </cell>
        </row>
        <row r="56">
          <cell r="A56" t="str">
            <v>Gymnastikhalle</v>
          </cell>
          <cell r="B56">
            <v>55</v>
          </cell>
          <cell r="C56">
            <v>19.817021061165661</v>
          </cell>
          <cell r="D56">
            <v>24.016123238545916</v>
          </cell>
          <cell r="E56">
            <v>19.929825536196095</v>
          </cell>
          <cell r="F56">
            <v>26.009234889712044</v>
          </cell>
          <cell r="G56">
            <v>4.9043560898461909</v>
          </cell>
          <cell r="H56">
            <v>256.47834588179956</v>
          </cell>
          <cell r="I56">
            <v>0.99447025781446963</v>
          </cell>
          <cell r="J56">
            <v>1.5</v>
          </cell>
          <cell r="K56">
            <v>1.0790087035692613</v>
          </cell>
          <cell r="L56">
            <v>1.1940298507462686</v>
          </cell>
          <cell r="M56">
            <v>1.7044564406388747</v>
          </cell>
        </row>
        <row r="57">
          <cell r="A57" t="str">
            <v>Sporthalle mit Mehrzwecknutzung</v>
          </cell>
          <cell r="B57">
            <v>56</v>
          </cell>
          <cell r="C57">
            <v>19.817021061165661</v>
          </cell>
          <cell r="D57">
            <v>24.016123238545916</v>
          </cell>
          <cell r="E57">
            <v>19.929825536196095</v>
          </cell>
          <cell r="F57">
            <v>26.009234889712044</v>
          </cell>
          <cell r="G57">
            <v>4.9043560898461909</v>
          </cell>
          <cell r="H57">
            <v>256.47834588179956</v>
          </cell>
          <cell r="I57">
            <v>0.99447025781446963</v>
          </cell>
          <cell r="J57">
            <v>1.5</v>
          </cell>
          <cell r="K57">
            <v>1.0790087035692613</v>
          </cell>
          <cell r="L57">
            <v>1.1940298507462686</v>
          </cell>
          <cell r="M57">
            <v>1.7044564406388747</v>
          </cell>
        </row>
        <row r="58">
          <cell r="A58" t="str">
            <v>Hallenbad</v>
          </cell>
          <cell r="B58">
            <v>57</v>
          </cell>
          <cell r="C58">
            <v>20.421436248108552</v>
          </cell>
          <cell r="D58">
            <v>24.597418808779338</v>
          </cell>
          <cell r="E58">
            <v>20.099800399201591</v>
          </cell>
          <cell r="F58">
            <v>26.335329341317358</v>
          </cell>
          <cell r="G58">
            <v>5.3086826347305385</v>
          </cell>
          <cell r="H58">
            <v>234.66249356833396</v>
          </cell>
          <cell r="I58">
            <v>0.9898142199949459</v>
          </cell>
          <cell r="J58">
            <v>1.5</v>
          </cell>
          <cell r="K58">
            <v>1.1721859748578942</v>
          </cell>
          <cell r="L58">
            <v>1.1940298507462686</v>
          </cell>
          <cell r="M58">
            <v>1.5651493516576189</v>
          </cell>
        </row>
        <row r="59">
          <cell r="A59" t="str">
            <v>Spaß- und Freizeitbad</v>
          </cell>
          <cell r="B59">
            <v>58</v>
          </cell>
          <cell r="C59">
            <v>20.421436248108552</v>
          </cell>
          <cell r="D59">
            <v>24.597418808779338</v>
          </cell>
          <cell r="E59">
            <v>20.099800399201591</v>
          </cell>
          <cell r="F59">
            <v>26.335329341317358</v>
          </cell>
          <cell r="G59">
            <v>5.3086826347305385</v>
          </cell>
          <cell r="H59">
            <v>234.66249356833396</v>
          </cell>
          <cell r="I59">
            <v>0.9898142199949459</v>
          </cell>
          <cell r="J59">
            <v>1.5</v>
          </cell>
          <cell r="K59">
            <v>1.1721859748578942</v>
          </cell>
          <cell r="L59">
            <v>1.1940298507462686</v>
          </cell>
          <cell r="M59">
            <v>1.5651493516576189</v>
          </cell>
        </row>
        <row r="60">
          <cell r="A60" t="str">
            <v>Thermalbad</v>
          </cell>
          <cell r="B60">
            <v>59</v>
          </cell>
          <cell r="C60">
            <v>20.421436248108552</v>
          </cell>
          <cell r="D60">
            <v>24.597418808779338</v>
          </cell>
          <cell r="E60">
            <v>20.099800399201591</v>
          </cell>
          <cell r="F60">
            <v>26.335329341317358</v>
          </cell>
          <cell r="G60">
            <v>5.3086826347305385</v>
          </cell>
          <cell r="H60">
            <v>234.66249356833396</v>
          </cell>
          <cell r="I60">
            <v>0.9898142199949459</v>
          </cell>
          <cell r="J60">
            <v>1.5</v>
          </cell>
          <cell r="K60">
            <v>1.1721859748578942</v>
          </cell>
          <cell r="L60">
            <v>1.1940298507462686</v>
          </cell>
          <cell r="M60">
            <v>1.5651493516576189</v>
          </cell>
        </row>
        <row r="61">
          <cell r="A61" t="str">
            <v>Hallenbad mit Freibadanlage</v>
          </cell>
          <cell r="B61">
            <v>60</v>
          </cell>
          <cell r="C61">
            <v>20.421436248108552</v>
          </cell>
          <cell r="D61">
            <v>24.597418808779338</v>
          </cell>
          <cell r="E61">
            <v>20.099800399201591</v>
          </cell>
          <cell r="F61">
            <v>26.335329341317358</v>
          </cell>
          <cell r="G61">
            <v>5.3086826347305385</v>
          </cell>
          <cell r="H61">
            <v>234.66249356833396</v>
          </cell>
          <cell r="I61">
            <v>0.9898142199949459</v>
          </cell>
          <cell r="J61">
            <v>1.5</v>
          </cell>
          <cell r="K61">
            <v>1.1721859748578942</v>
          </cell>
          <cell r="L61">
            <v>1.1940298507462686</v>
          </cell>
          <cell r="M61">
            <v>1.5651493516576189</v>
          </cell>
        </row>
        <row r="62">
          <cell r="A62" t="str">
            <v>Kegelbahn/Bowling</v>
          </cell>
          <cell r="B62">
            <v>61</v>
          </cell>
          <cell r="C62">
            <v>19.817021061165661</v>
          </cell>
          <cell r="D62">
            <v>24.016123238545916</v>
          </cell>
          <cell r="E62">
            <v>19.929825536196095</v>
          </cell>
          <cell r="F62">
            <v>26.009234889712044</v>
          </cell>
          <cell r="G62">
            <v>4.9043560898461909</v>
          </cell>
          <cell r="H62">
            <v>256.47834588179956</v>
          </cell>
          <cell r="I62">
            <v>0.99447025781446963</v>
          </cell>
          <cell r="J62">
            <v>1.5</v>
          </cell>
          <cell r="K62">
            <v>1.0790087035692613</v>
          </cell>
          <cell r="L62">
            <v>1.1940298507462686</v>
          </cell>
          <cell r="M62">
            <v>1.7044564406388747</v>
          </cell>
        </row>
        <row r="63">
          <cell r="A63" t="str">
            <v>Schießstand</v>
          </cell>
          <cell r="B63">
            <v>62</v>
          </cell>
          <cell r="C63">
            <v>19.817021061165661</v>
          </cell>
          <cell r="D63">
            <v>24.016123238545916</v>
          </cell>
          <cell r="E63">
            <v>19.929825536196095</v>
          </cell>
          <cell r="F63">
            <v>26.009234889712044</v>
          </cell>
          <cell r="G63">
            <v>4.9043560898461909</v>
          </cell>
          <cell r="H63">
            <v>256.47834588179956</v>
          </cell>
          <cell r="I63">
            <v>0.99447025781446963</v>
          </cell>
          <cell r="J63">
            <v>1.5</v>
          </cell>
          <cell r="K63">
            <v>1.0790087035692613</v>
          </cell>
          <cell r="L63">
            <v>1.1940298507462686</v>
          </cell>
          <cell r="M63">
            <v>1.7044564406388747</v>
          </cell>
        </row>
        <row r="64">
          <cell r="A64" t="str">
            <v>Raumschießanlage</v>
          </cell>
          <cell r="B64">
            <v>63</v>
          </cell>
          <cell r="C64">
            <v>19.817021061165661</v>
          </cell>
          <cell r="D64">
            <v>24.016123238545916</v>
          </cell>
          <cell r="E64">
            <v>19.929825536196095</v>
          </cell>
          <cell r="F64">
            <v>26.009234889712044</v>
          </cell>
          <cell r="G64">
            <v>4.9043560898461909</v>
          </cell>
          <cell r="H64">
            <v>256.47834588179956</v>
          </cell>
          <cell r="I64">
            <v>0.99447025781446963</v>
          </cell>
          <cell r="J64">
            <v>1.5</v>
          </cell>
          <cell r="K64">
            <v>1.0790087035692613</v>
          </cell>
          <cell r="L64">
            <v>1.1940298507462686</v>
          </cell>
          <cell r="M64">
            <v>1.7044564406388747</v>
          </cell>
        </row>
        <row r="65">
          <cell r="A65" t="str">
            <v>Reithalle</v>
          </cell>
          <cell r="B65">
            <v>64</v>
          </cell>
          <cell r="C65">
            <v>13.618127566026562</v>
          </cell>
          <cell r="D65">
            <v>25.692970216524959</v>
          </cell>
          <cell r="E65">
            <v>15.214430894308942</v>
          </cell>
          <cell r="F65">
            <v>27.337398373983739</v>
          </cell>
          <cell r="G65">
            <v>1.8838922764227641</v>
          </cell>
          <cell r="H65">
            <v>165.71261506339152</v>
          </cell>
          <cell r="I65">
            <v>0.99147292852434443</v>
          </cell>
          <cell r="J65">
            <v>2.4</v>
          </cell>
          <cell r="K65">
            <v>1.7321909809708322</v>
          </cell>
          <cell r="L65">
            <v>1.1940298507462686</v>
          </cell>
          <cell r="M65">
            <v>2.2320642062926415</v>
          </cell>
        </row>
        <row r="66">
          <cell r="A66" t="str">
            <v>Eissporthalle</v>
          </cell>
          <cell r="B66">
            <v>65</v>
          </cell>
          <cell r="C66">
            <v>13.618127566026562</v>
          </cell>
          <cell r="D66">
            <v>25.692970216524959</v>
          </cell>
          <cell r="E66">
            <v>15.214430894308942</v>
          </cell>
          <cell r="F66">
            <v>27.337398373983739</v>
          </cell>
          <cell r="G66">
            <v>1.8838922764227641</v>
          </cell>
          <cell r="H66">
            <v>165.71261506339152</v>
          </cell>
          <cell r="I66">
            <v>0.99147292852434443</v>
          </cell>
          <cell r="J66">
            <v>2.4</v>
          </cell>
          <cell r="K66">
            <v>1.7321909809708322</v>
          </cell>
          <cell r="L66">
            <v>1.1940298507462686</v>
          </cell>
          <cell r="M66">
            <v>2.2320642062926415</v>
          </cell>
        </row>
        <row r="67">
          <cell r="A67" t="str">
            <v>Tennishalle</v>
          </cell>
          <cell r="B67">
            <v>66</v>
          </cell>
          <cell r="C67">
            <v>19.817021061165661</v>
          </cell>
          <cell r="D67">
            <v>24.016123238545916</v>
          </cell>
          <cell r="E67">
            <v>19.929825536196095</v>
          </cell>
          <cell r="F67">
            <v>26.009234889712044</v>
          </cell>
          <cell r="G67">
            <v>4.9043560898461909</v>
          </cell>
          <cell r="H67">
            <v>256.47834588179956</v>
          </cell>
          <cell r="I67">
            <v>0.99447025781446963</v>
          </cell>
          <cell r="J67">
            <v>1.5</v>
          </cell>
          <cell r="K67">
            <v>1.0790087035692613</v>
          </cell>
          <cell r="L67">
            <v>1.1940298507462686</v>
          </cell>
          <cell r="M67">
            <v>1.7044564406388747</v>
          </cell>
        </row>
        <row r="68">
          <cell r="A68" t="str">
            <v>Fitnessstudio</v>
          </cell>
          <cell r="B68">
            <v>67</v>
          </cell>
          <cell r="C68">
            <v>20.48219684659399</v>
          </cell>
          <cell r="D68">
            <v>24.069016456406771</v>
          </cell>
          <cell r="E68">
            <v>19.145708582834331</v>
          </cell>
          <cell r="F68">
            <v>26.047904191616766</v>
          </cell>
          <cell r="G68">
            <v>10.958283433133733</v>
          </cell>
          <cell r="H68">
            <v>285.68460030923472</v>
          </cell>
          <cell r="I68">
            <v>0.98909492224815598</v>
          </cell>
          <cell r="J68">
            <v>2</v>
          </cell>
          <cell r="K68">
            <v>1.078675116455422</v>
          </cell>
          <cell r="L68">
            <v>1.1940298507462686</v>
          </cell>
          <cell r="M68">
            <v>1.7504388621345073</v>
          </cell>
        </row>
        <row r="69">
          <cell r="A69" t="str">
            <v>Gebäude für Sportaußenanlage (Tribünen-, Umkleidegebäude)</v>
          </cell>
          <cell r="B69">
            <v>68</v>
          </cell>
          <cell r="C69">
            <v>21.156532104995136</v>
          </cell>
          <cell r="D69">
            <v>24.06952059097793</v>
          </cell>
          <cell r="E69">
            <v>20.030549898167006</v>
          </cell>
          <cell r="F69">
            <v>26.036659877800403</v>
          </cell>
          <cell r="G69">
            <v>10.461507128309572</v>
          </cell>
          <cell r="H69">
            <v>230.53909541224942</v>
          </cell>
          <cell r="I69">
            <v>0.9802996885064843</v>
          </cell>
          <cell r="J69">
            <v>1.25</v>
          </cell>
          <cell r="K69">
            <v>1.0691105570509301</v>
          </cell>
          <cell r="L69">
            <v>1.1940298507462686</v>
          </cell>
          <cell r="M69">
            <v>1.3409771869027225</v>
          </cell>
        </row>
        <row r="70">
          <cell r="A70" t="str">
            <v>Beherbergungs- oder Unterbringungsgebäude, Gastronomie- oder Verpflegungsgebäude</v>
          </cell>
          <cell r="B70">
            <v>69</v>
          </cell>
          <cell r="C70">
            <v>21.032695027196706</v>
          </cell>
          <cell r="D70">
            <v>24.030245094019605</v>
          </cell>
          <cell r="E70">
            <v>20.003015075376879</v>
          </cell>
          <cell r="F70">
            <v>26.018090452261305</v>
          </cell>
          <cell r="G70">
            <v>11.829547738693465</v>
          </cell>
          <cell r="H70">
            <v>220.41558232307762</v>
          </cell>
          <cell r="I70">
            <v>0.99056336954285662</v>
          </cell>
          <cell r="J70">
            <v>1.5</v>
          </cell>
          <cell r="K70">
            <v>1.0579467459622138</v>
          </cell>
          <cell r="L70">
            <v>1.1940298507462686</v>
          </cell>
          <cell r="M70">
            <v>1.5633573147696587</v>
          </cell>
        </row>
        <row r="71">
          <cell r="A71" t="str">
            <v>Herberge, Ferienheim, Ferienhaus, Hotel/Pension einfach</v>
          </cell>
          <cell r="B71">
            <v>70</v>
          </cell>
          <cell r="C71">
            <v>21.055954474012164</v>
          </cell>
          <cell r="D71">
            <v>24.039445607402435</v>
          </cell>
          <cell r="E71">
            <v>20.003138121033029</v>
          </cell>
          <cell r="F71">
            <v>26.023952375558757</v>
          </cell>
          <cell r="G71">
            <v>6.5352055290967259</v>
          </cell>
          <cell r="H71">
            <v>206.06034028022665</v>
          </cell>
          <cell r="I71">
            <v>0.99270506291374916</v>
          </cell>
          <cell r="J71">
            <v>1.25</v>
          </cell>
          <cell r="K71">
            <v>1.0487274416786074</v>
          </cell>
          <cell r="L71">
            <v>1.1940298507462686</v>
          </cell>
          <cell r="M71">
            <v>1.3367739827705531</v>
          </cell>
        </row>
        <row r="72">
          <cell r="A72" t="str">
            <v>Sterne-Hotel</v>
          </cell>
          <cell r="B72">
            <v>71</v>
          </cell>
          <cell r="C72">
            <v>21.159433309216617</v>
          </cell>
          <cell r="D72">
            <v>24.498064739887674</v>
          </cell>
          <cell r="E72">
            <v>20.104104104104096</v>
          </cell>
          <cell r="F72">
            <v>26.30030030030029</v>
          </cell>
          <cell r="G72">
            <v>5.539139139139138</v>
          </cell>
          <cell r="H72">
            <v>200.66479702866854</v>
          </cell>
          <cell r="I72">
            <v>0.99287761736290048</v>
          </cell>
          <cell r="J72">
            <v>1.25</v>
          </cell>
          <cell r="K72">
            <v>1.0680148339144562</v>
          </cell>
          <cell r="L72">
            <v>1.1940298507462686</v>
          </cell>
          <cell r="M72">
            <v>1.3033632162701148</v>
          </cell>
        </row>
        <row r="73">
          <cell r="A73" t="str">
            <v>Ausschankwirtschaft</v>
          </cell>
          <cell r="B73">
            <v>72</v>
          </cell>
          <cell r="C73">
            <v>20.96039736656035</v>
          </cell>
          <cell r="D73">
            <v>24.002843593500618</v>
          </cell>
          <cell r="E73">
            <v>19.995606289445156</v>
          </cell>
          <cell r="F73">
            <v>26.001098427638713</v>
          </cell>
          <cell r="G73">
            <v>18.722985776540277</v>
          </cell>
          <cell r="H73">
            <v>239.02207468480836</v>
          </cell>
          <cell r="I73">
            <v>0.98805799816159523</v>
          </cell>
          <cell r="J73">
            <v>2</v>
          </cell>
          <cell r="K73">
            <v>1.0659145568180313</v>
          </cell>
          <cell r="L73">
            <v>1.1940298507462686</v>
          </cell>
          <cell r="M73">
            <v>1.9098329094973154</v>
          </cell>
        </row>
        <row r="74">
          <cell r="A74" t="str">
            <v>Speisegaststätte (einfach)</v>
          </cell>
          <cell r="B74">
            <v>73</v>
          </cell>
          <cell r="C74">
            <v>20.96039736656035</v>
          </cell>
          <cell r="D74">
            <v>24.002843593500618</v>
          </cell>
          <cell r="E74">
            <v>19.995606289445156</v>
          </cell>
          <cell r="F74">
            <v>26.001098427638713</v>
          </cell>
          <cell r="G74">
            <v>18.722985776540277</v>
          </cell>
          <cell r="H74">
            <v>239.02207468480836</v>
          </cell>
          <cell r="I74">
            <v>0.98805799816159523</v>
          </cell>
          <cell r="J74">
            <v>2</v>
          </cell>
          <cell r="K74">
            <v>1.0659145568180313</v>
          </cell>
          <cell r="L74">
            <v>1.1940298507462686</v>
          </cell>
          <cell r="M74">
            <v>1.9098329094973154</v>
          </cell>
        </row>
        <row r="75">
          <cell r="A75" t="str">
            <v>Restaurant (gehoben)</v>
          </cell>
          <cell r="B75">
            <v>74</v>
          </cell>
          <cell r="C75">
            <v>20.96039736656035</v>
          </cell>
          <cell r="D75">
            <v>24.002843593500618</v>
          </cell>
          <cell r="E75">
            <v>19.995606289445156</v>
          </cell>
          <cell r="F75">
            <v>26.001098427638713</v>
          </cell>
          <cell r="G75">
            <v>18.722985776540277</v>
          </cell>
          <cell r="H75">
            <v>239.02207468480836</v>
          </cell>
          <cell r="I75">
            <v>0.98805799816159523</v>
          </cell>
          <cell r="J75">
            <v>2</v>
          </cell>
          <cell r="K75">
            <v>1.0659145568180313</v>
          </cell>
          <cell r="L75">
            <v>1.1940298507462686</v>
          </cell>
          <cell r="M75">
            <v>1.9098329094973154</v>
          </cell>
        </row>
        <row r="76">
          <cell r="A76" t="str">
            <v>Mensa/Kantine</v>
          </cell>
          <cell r="B76">
            <v>75</v>
          </cell>
          <cell r="C76">
            <v>20.904180845892078</v>
          </cell>
          <cell r="D76">
            <v>24.021293145357312</v>
          </cell>
          <cell r="E76">
            <v>19.976000000000003</v>
          </cell>
          <cell r="F76">
            <v>26.005999999999997</v>
          </cell>
          <cell r="G76">
            <v>17.420900000000003</v>
          </cell>
          <cell r="H76">
            <v>229.81161886242103</v>
          </cell>
          <cell r="I76">
            <v>0.97973877815589039</v>
          </cell>
          <cell r="J76">
            <v>1.5</v>
          </cell>
          <cell r="K76">
            <v>1.1555760816723384</v>
          </cell>
          <cell r="L76">
            <v>1.1940298507462686</v>
          </cell>
          <cell r="M76">
            <v>1.6804719656457625</v>
          </cell>
        </row>
        <row r="77">
          <cell r="A77" t="str">
            <v>Gemeinschaftsunterkunft (z.B. Flüchtlingsheim, Kaserne, Kloster)</v>
          </cell>
          <cell r="B77">
            <v>76</v>
          </cell>
          <cell r="C77">
            <v>21.055954474012164</v>
          </cell>
          <cell r="D77">
            <v>24.039445607402435</v>
          </cell>
          <cell r="E77">
            <v>20.003138121033029</v>
          </cell>
          <cell r="F77">
            <v>26.023952375558757</v>
          </cell>
          <cell r="G77">
            <v>6.5352055290967259</v>
          </cell>
          <cell r="H77">
            <v>206.06034028022665</v>
          </cell>
          <cell r="I77">
            <v>0.99270506291374916</v>
          </cell>
          <cell r="J77">
            <v>1.25</v>
          </cell>
          <cell r="K77">
            <v>1.0487274416786074</v>
          </cell>
          <cell r="L77">
            <v>1.1940298507462686</v>
          </cell>
          <cell r="M77">
            <v>1.3367739827705531</v>
          </cell>
        </row>
        <row r="78">
          <cell r="A78" t="str">
            <v>Produktions-, Werkstatt-, Lager- oder Betriebsgebäude</v>
          </cell>
          <cell r="B78">
            <v>77</v>
          </cell>
          <cell r="C78">
            <v>15.106920545380152</v>
          </cell>
          <cell r="D78">
            <v>25.548326846046727</v>
          </cell>
          <cell r="E78">
            <v>16.526209677419352</v>
          </cell>
          <cell r="F78">
            <v>27.346774193548388</v>
          </cell>
          <cell r="G78">
            <v>2.6919858870967746</v>
          </cell>
          <cell r="H78">
            <v>207.26638988101206</v>
          </cell>
          <cell r="I78">
            <v>0.96831863916733196</v>
          </cell>
          <cell r="J78">
            <v>2</v>
          </cell>
          <cell r="K78">
            <v>1.5713148340524183</v>
          </cell>
          <cell r="L78">
            <v>1.1940298507462686</v>
          </cell>
          <cell r="M78">
            <v>2.1416711965653739</v>
          </cell>
        </row>
        <row r="79">
          <cell r="A79" t="str">
            <v>Gebäude für gewerbliche Produktion und Verarbeitung (z.B. Brauerei, Molkerei, Schlachthof)</v>
          </cell>
          <cell r="B79">
            <v>78</v>
          </cell>
          <cell r="C79">
            <v>18.160320160227759</v>
          </cell>
          <cell r="D79">
            <v>25.389145467187291</v>
          </cell>
          <cell r="E79">
            <v>17.57142270429366</v>
          </cell>
          <cell r="F79">
            <v>27.483643132425026</v>
          </cell>
          <cell r="G79">
            <v>3.4275363970181485</v>
          </cell>
          <cell r="H79">
            <v>303.40850214177436</v>
          </cell>
          <cell r="I79">
            <v>0.91195037444891958</v>
          </cell>
          <cell r="J79">
            <v>2</v>
          </cell>
          <cell r="K79">
            <v>1.193151138747405</v>
          </cell>
          <cell r="L79">
            <v>1.1940298507462686</v>
          </cell>
          <cell r="M79">
            <v>1.9878909558187898</v>
          </cell>
        </row>
        <row r="80">
          <cell r="A80" t="str">
            <v>Gebäude für industrielle Produktion und Verarbeitung (z.B. Chemie, Metall, Textilien, Lebensmittel, Holz)</v>
          </cell>
          <cell r="B80">
            <v>79</v>
          </cell>
          <cell r="C80">
            <v>18.160320160227759</v>
          </cell>
          <cell r="D80">
            <v>25.389145467187291</v>
          </cell>
          <cell r="E80">
            <v>17.57142270429366</v>
          </cell>
          <cell r="F80">
            <v>27.483643132425026</v>
          </cell>
          <cell r="G80">
            <v>3.4275363970181485</v>
          </cell>
          <cell r="H80">
            <v>303.40850214177436</v>
          </cell>
          <cell r="I80">
            <v>0.91195037444891958</v>
          </cell>
          <cell r="J80">
            <v>2</v>
          </cell>
          <cell r="K80">
            <v>1.193151138747405</v>
          </cell>
          <cell r="L80">
            <v>1.1940298507462686</v>
          </cell>
          <cell r="M80">
            <v>1.9878909558187898</v>
          </cell>
        </row>
        <row r="81">
          <cell r="A81" t="str">
            <v>Werkstattgebäude allgemein (z.B. von Handwerksbetrieben wie Klempner, Schlosser, Schreiner)</v>
          </cell>
          <cell r="B81">
            <v>80</v>
          </cell>
          <cell r="C81">
            <v>18.367858349698068</v>
          </cell>
          <cell r="D81">
            <v>25.186516280553672</v>
          </cell>
          <cell r="E81">
            <v>17.875973092285051</v>
          </cell>
          <cell r="F81">
            <v>27.259012402774854</v>
          </cell>
          <cell r="G81">
            <v>3.5193183939457637</v>
          </cell>
          <cell r="H81">
            <v>289.23839766258857</v>
          </cell>
          <cell r="I81">
            <v>0.9235952577789015</v>
          </cell>
          <cell r="J81">
            <v>2</v>
          </cell>
          <cell r="K81">
            <v>1.2453902570810851</v>
          </cell>
          <cell r="L81">
            <v>1.1940298507462686</v>
          </cell>
          <cell r="M81">
            <v>1.9187737379506464</v>
          </cell>
        </row>
        <row r="82">
          <cell r="A82" t="str">
            <v>Werkstattgebäude zur Wartung, Instandsetzung, Reparatur (von z.B. Kfz)</v>
          </cell>
          <cell r="B82">
            <v>81</v>
          </cell>
          <cell r="C82">
            <v>18.367858349698068</v>
          </cell>
          <cell r="D82">
            <v>25.186516280553672</v>
          </cell>
          <cell r="E82">
            <v>17.875973092285051</v>
          </cell>
          <cell r="F82">
            <v>27.259012402774854</v>
          </cell>
          <cell r="G82">
            <v>3.5193183939457637</v>
          </cell>
          <cell r="H82">
            <v>289.23839766258857</v>
          </cell>
          <cell r="I82">
            <v>0.9235952577789015</v>
          </cell>
          <cell r="J82">
            <v>2</v>
          </cell>
          <cell r="K82">
            <v>1.2453902570810851</v>
          </cell>
          <cell r="L82">
            <v>1.1940298507462686</v>
          </cell>
          <cell r="M82">
            <v>1.9187737379506464</v>
          </cell>
        </row>
        <row r="83">
          <cell r="A83" t="str">
            <v>Logistikimmobilie mit Toren bzw. Rampen</v>
          </cell>
          <cell r="B83">
            <v>82</v>
          </cell>
          <cell r="C83">
            <v>13.618127566026562</v>
          </cell>
          <cell r="D83">
            <v>25.692970216524959</v>
          </cell>
          <cell r="E83">
            <v>15.214430894308942</v>
          </cell>
          <cell r="F83">
            <v>27.337398373983739</v>
          </cell>
          <cell r="G83">
            <v>1.8838922764227641</v>
          </cell>
          <cell r="H83">
            <v>165.71261506339152</v>
          </cell>
          <cell r="I83">
            <v>0.99147292852434443</v>
          </cell>
          <cell r="J83">
            <v>2.4</v>
          </cell>
          <cell r="K83">
            <v>1.7321909809708322</v>
          </cell>
          <cell r="L83">
            <v>1.1940298507462686</v>
          </cell>
          <cell r="M83">
            <v>2.2320642062926415</v>
          </cell>
        </row>
        <row r="84">
          <cell r="A84" t="str">
            <v>Sonstiges Gebäude für Lagerung</v>
          </cell>
          <cell r="B84">
            <v>83</v>
          </cell>
          <cell r="C84">
            <v>13.618127566026562</v>
          </cell>
          <cell r="D84">
            <v>25.692970216524959</v>
          </cell>
          <cell r="E84">
            <v>15.214430894308942</v>
          </cell>
          <cell r="F84">
            <v>27.337398373983739</v>
          </cell>
          <cell r="G84">
            <v>1.8838922764227641</v>
          </cell>
          <cell r="H84">
            <v>165.71261506339152</v>
          </cell>
          <cell r="I84">
            <v>0.99147292852434443</v>
          </cell>
          <cell r="J84">
            <v>2.4</v>
          </cell>
          <cell r="K84">
            <v>1.7321909809708322</v>
          </cell>
          <cell r="L84">
            <v>1.1940298507462686</v>
          </cell>
          <cell r="M84">
            <v>2.2320642062926415</v>
          </cell>
        </row>
        <row r="85">
          <cell r="A85" t="str">
            <v>Feuerwehr, Rettungswache</v>
          </cell>
          <cell r="B85">
            <v>84</v>
          </cell>
          <cell r="C85">
            <v>19.210430437467966</v>
          </cell>
          <cell r="D85">
            <v>24.47079385521111</v>
          </cell>
          <cell r="E85">
            <v>19.200400801603202</v>
          </cell>
          <cell r="F85">
            <v>26.298597194388776</v>
          </cell>
          <cell r="G85">
            <v>5.3626753507014024</v>
          </cell>
          <cell r="H85">
            <v>209.55622429267905</v>
          </cell>
          <cell r="I85">
            <v>0.97287803724194111</v>
          </cell>
          <cell r="J85">
            <v>1.5</v>
          </cell>
          <cell r="K85">
            <v>1.3283598564989423</v>
          </cell>
          <cell r="L85">
            <v>1.1940298507462686</v>
          </cell>
          <cell r="M85">
            <v>1.5549537925279575</v>
          </cell>
        </row>
        <row r="86">
          <cell r="A86" t="str">
            <v>Straßenmeisterei, Bauhof u.ä.</v>
          </cell>
          <cell r="B86">
            <v>85</v>
          </cell>
          <cell r="C86">
            <v>18.367858349698068</v>
          </cell>
          <cell r="D86">
            <v>25.186516280553672</v>
          </cell>
          <cell r="E86">
            <v>17.875973092285051</v>
          </cell>
          <cell r="F86">
            <v>27.259012402774854</v>
          </cell>
          <cell r="G86">
            <v>3.5193183939457637</v>
          </cell>
          <cell r="H86">
            <v>289.23839766258857</v>
          </cell>
          <cell r="I86">
            <v>0.9235952577789015</v>
          </cell>
          <cell r="J86">
            <v>2</v>
          </cell>
          <cell r="K86">
            <v>1.2453902570810851</v>
          </cell>
          <cell r="L86">
            <v>1.1940298507462686</v>
          </cell>
          <cell r="M86">
            <v>1.9187737379506464</v>
          </cell>
        </row>
        <row r="87">
          <cell r="A87" t="str">
            <v>Fuhrpark</v>
          </cell>
          <cell r="B87">
            <v>86</v>
          </cell>
          <cell r="C87">
            <v>18.367858349698068</v>
          </cell>
          <cell r="D87">
            <v>25.186516280553672</v>
          </cell>
          <cell r="E87">
            <v>17.875973092285051</v>
          </cell>
          <cell r="F87">
            <v>27.259012402774854</v>
          </cell>
          <cell r="G87">
            <v>3.5193183939457637</v>
          </cell>
          <cell r="H87">
            <v>289.23839766258857</v>
          </cell>
          <cell r="I87">
            <v>0.9235952577789015</v>
          </cell>
          <cell r="J87">
            <v>2</v>
          </cell>
          <cell r="K87">
            <v>1.2453902570810851</v>
          </cell>
          <cell r="L87">
            <v>1.1940298507462686</v>
          </cell>
          <cell r="M87">
            <v>1.9187737379506464</v>
          </cell>
        </row>
        <row r="88">
          <cell r="A88" t="str">
            <v>zentrales Wirtschaftsgebäude (z.B. Zentralküche oder -wäscherei in Krankenhaus)</v>
          </cell>
          <cell r="B88">
            <v>87</v>
          </cell>
          <cell r="C88">
            <v>18.367858349698068</v>
          </cell>
          <cell r="D88">
            <v>25.186516280553672</v>
          </cell>
          <cell r="E88">
            <v>17.875973092285051</v>
          </cell>
          <cell r="F88">
            <v>27.259012402774854</v>
          </cell>
          <cell r="G88">
            <v>3.5193183939457637</v>
          </cell>
          <cell r="H88">
            <v>289.23839766258857</v>
          </cell>
          <cell r="I88">
            <v>0.9235952577789015</v>
          </cell>
          <cell r="J88">
            <v>2</v>
          </cell>
          <cell r="K88">
            <v>1.2453902570810851</v>
          </cell>
          <cell r="L88">
            <v>1.1940298507462686</v>
          </cell>
          <cell r="M88">
            <v>1.9187737379506464</v>
          </cell>
        </row>
        <row r="89">
          <cell r="A89" t="str">
            <v>Rechenzentrum</v>
          </cell>
          <cell r="B89">
            <v>88</v>
          </cell>
          <cell r="C89">
            <v>21</v>
          </cell>
          <cell r="D89">
            <v>24</v>
          </cell>
          <cell r="E89">
            <v>20</v>
          </cell>
          <cell r="F89">
            <v>26</v>
          </cell>
          <cell r="G89">
            <v>1.33244007992008</v>
          </cell>
          <cell r="H89">
            <v>375.2275628447378</v>
          </cell>
          <cell r="I89">
            <v>0.96930980140774303</v>
          </cell>
          <cell r="J89">
            <v>1.5</v>
          </cell>
          <cell r="K89">
            <v>1.2164473449239765</v>
          </cell>
          <cell r="L89">
            <v>1.1940298507462686</v>
          </cell>
          <cell r="M89">
            <v>1.4182423458741569</v>
          </cell>
        </row>
        <row r="90">
          <cell r="A90" t="str">
            <v>Handelsgebäude</v>
          </cell>
          <cell r="B90">
            <v>89</v>
          </cell>
          <cell r="C90">
            <v>20.83064514921406</v>
          </cell>
          <cell r="D90">
            <v>24.048841043487634</v>
          </cell>
          <cell r="E90">
            <v>19.908726178535602</v>
          </cell>
          <cell r="F90">
            <v>26.040120361083233</v>
          </cell>
          <cell r="G90">
            <v>4.0742226680040101</v>
          </cell>
          <cell r="H90">
            <v>266.44087517351784</v>
          </cell>
          <cell r="I90">
            <v>0.94493298133120895</v>
          </cell>
          <cell r="J90">
            <v>2</v>
          </cell>
          <cell r="K90">
            <v>1.2807725078953396</v>
          </cell>
          <cell r="L90">
            <v>1.1940298507462686</v>
          </cell>
          <cell r="M90">
            <v>2.1731970248532866</v>
          </cell>
        </row>
        <row r="91">
          <cell r="A91" t="str">
            <v>Handelsgebäude des Lebensmitteleinzel- und -großhandels</v>
          </cell>
          <cell r="B91">
            <v>90</v>
          </cell>
          <cell r="C91">
            <v>20.821055265068431</v>
          </cell>
          <cell r="D91">
            <v>24.050737141233476</v>
          </cell>
          <cell r="E91">
            <v>19.910086002461561</v>
          </cell>
          <cell r="F91">
            <v>26.039060697128857</v>
          </cell>
          <cell r="G91">
            <v>4.0555018124819506</v>
          </cell>
          <cell r="H91">
            <v>267.28818898475021</v>
          </cell>
          <cell r="I91">
            <v>0.94435862842218332</v>
          </cell>
          <cell r="J91">
            <v>2</v>
          </cell>
          <cell r="K91">
            <v>1.2846191256567563</v>
          </cell>
          <cell r="L91">
            <v>1.1940298507462686</v>
          </cell>
          <cell r="M91">
            <v>2.1751802822542681</v>
          </cell>
        </row>
        <row r="92">
          <cell r="A92" t="str">
            <v>Handelsgebäude des Non-Food-Einzel- und -Großhandels</v>
          </cell>
          <cell r="B92">
            <v>91</v>
          </cell>
          <cell r="C92">
            <v>20.956420434543514</v>
          </cell>
          <cell r="D92">
            <v>24.047113776794252</v>
          </cell>
          <cell r="E92">
            <v>19.963038796372132</v>
          </cell>
          <cell r="F92">
            <v>26.038159371492704</v>
          </cell>
          <cell r="G92">
            <v>4.0069031152364483</v>
          </cell>
          <cell r="H92">
            <v>267.63542356538755</v>
          </cell>
          <cell r="I92">
            <v>0.94472557580058469</v>
          </cell>
          <cell r="J92">
            <v>2.4</v>
          </cell>
          <cell r="K92">
            <v>1.3372351333002666</v>
          </cell>
          <cell r="L92">
            <v>1.1940298507462686</v>
          </cell>
          <cell r="M92">
            <v>2.2049590015865004</v>
          </cell>
        </row>
        <row r="93">
          <cell r="A93" t="str">
            <v>Einkaufszentrum, Shopping-Mall</v>
          </cell>
          <cell r="B93">
            <v>92</v>
          </cell>
          <cell r="C93">
            <v>20.956420434543514</v>
          </cell>
          <cell r="D93">
            <v>24.047113776794252</v>
          </cell>
          <cell r="E93">
            <v>19.963038796372132</v>
          </cell>
          <cell r="F93">
            <v>26.038159371492704</v>
          </cell>
          <cell r="G93">
            <v>4.0069031152364483</v>
          </cell>
          <cell r="H93">
            <v>267.63542356538755</v>
          </cell>
          <cell r="I93">
            <v>0.94472557580058469</v>
          </cell>
          <cell r="J93">
            <v>2.4</v>
          </cell>
          <cell r="K93">
            <v>1.3372351333002666</v>
          </cell>
          <cell r="L93">
            <v>1.1940298507462686</v>
          </cell>
          <cell r="M93">
            <v>2.2049590015865004</v>
          </cell>
        </row>
        <row r="94">
          <cell r="A94" t="str">
            <v>Markthalle</v>
          </cell>
          <cell r="B94">
            <v>93</v>
          </cell>
          <cell r="C94">
            <v>20.821055265068431</v>
          </cell>
          <cell r="D94">
            <v>24.050737141233476</v>
          </cell>
          <cell r="E94">
            <v>19.910086002461561</v>
          </cell>
          <cell r="F94">
            <v>26.039060697128857</v>
          </cell>
          <cell r="G94">
            <v>4.0555018124819506</v>
          </cell>
          <cell r="H94">
            <v>267.28818898475021</v>
          </cell>
          <cell r="I94">
            <v>0.94435862842218332</v>
          </cell>
          <cell r="J94">
            <v>2</v>
          </cell>
          <cell r="K94">
            <v>1.2846191256567563</v>
          </cell>
          <cell r="L94">
            <v>1.1940298507462686</v>
          </cell>
          <cell r="M94">
            <v>2.1751802822542681</v>
          </cell>
        </row>
        <row r="95">
          <cell r="A95" t="str">
            <v>Messehalle</v>
          </cell>
          <cell r="B95">
            <v>94</v>
          </cell>
          <cell r="C95">
            <v>20.946699238618208</v>
          </cell>
          <cell r="D95">
            <v>24.010321713893802</v>
          </cell>
          <cell r="E95">
            <v>19.967134514040136</v>
          </cell>
          <cell r="F95">
            <v>26.012136650472069</v>
          </cell>
          <cell r="G95">
            <v>11.035283572935132</v>
          </cell>
          <cell r="H95">
            <v>284.85381639103809</v>
          </cell>
          <cell r="I95">
            <v>0.9647103599828224</v>
          </cell>
          <cell r="J95">
            <v>1.5</v>
          </cell>
          <cell r="K95">
            <v>1.1762170107257612</v>
          </cell>
          <cell r="L95">
            <v>1.1940298507462686</v>
          </cell>
          <cell r="M95">
            <v>1.5919764925982165</v>
          </cell>
        </row>
        <row r="96">
          <cell r="A96" t="str">
            <v>von Dienstleistern (z.B. Frisör, Kosmetik) genutztes Ladengebäude</v>
          </cell>
          <cell r="B96">
            <v>95</v>
          </cell>
          <cell r="C96">
            <v>20.905294709453528</v>
          </cell>
          <cell r="D96">
            <v>24.096050113102486</v>
          </cell>
          <cell r="E96">
            <v>19.732868882569477</v>
          </cell>
          <cell r="F96">
            <v>26.150556030795546</v>
          </cell>
          <cell r="G96">
            <v>7.9801995751097543</v>
          </cell>
          <cell r="H96">
            <v>300.43943618242275</v>
          </cell>
          <cell r="I96">
            <v>0.94414306715273211</v>
          </cell>
          <cell r="J96">
            <v>2</v>
          </cell>
          <cell r="K96">
            <v>1.2943108404700394</v>
          </cell>
          <cell r="L96">
            <v>1.1940298507462686</v>
          </cell>
          <cell r="M96">
            <v>1.9109533915130619</v>
          </cell>
        </row>
        <row r="97">
          <cell r="A97" t="str">
            <v>Technikgebäude (Ver- und Entsorgung)</v>
          </cell>
          <cell r="B97">
            <v>96</v>
          </cell>
          <cell r="C97">
            <v>21</v>
          </cell>
          <cell r="D97">
            <v>24</v>
          </cell>
          <cell r="E97">
            <v>20</v>
          </cell>
          <cell r="F97">
            <v>26.000000000000007</v>
          </cell>
          <cell r="G97">
            <v>3.4115000000000006</v>
          </cell>
          <cell r="H97">
            <v>349.84398518695497</v>
          </cell>
          <cell r="I97">
            <v>0.96064983872894527</v>
          </cell>
          <cell r="J97">
            <v>1.5</v>
          </cell>
          <cell r="K97">
            <v>1.1647353960100346</v>
          </cell>
          <cell r="L97">
            <v>1.1940298507462686</v>
          </cell>
          <cell r="M97">
            <v>1.4619543662644845</v>
          </cell>
        </row>
        <row r="98">
          <cell r="A98" t="str">
            <v>Kraftwerk (Gesamtanlage für Energieversorgung)</v>
          </cell>
          <cell r="B98">
            <v>97</v>
          </cell>
          <cell r="C98">
            <v>21</v>
          </cell>
          <cell r="D98">
            <v>24</v>
          </cell>
          <cell r="E98">
            <v>20</v>
          </cell>
          <cell r="F98">
            <v>26.000000000000007</v>
          </cell>
          <cell r="G98">
            <v>3.4115000000000006</v>
          </cell>
          <cell r="H98">
            <v>349.84398518695497</v>
          </cell>
          <cell r="I98">
            <v>0.96064983872894527</v>
          </cell>
          <cell r="J98">
            <v>1.5</v>
          </cell>
          <cell r="K98">
            <v>1.1647353960100346</v>
          </cell>
          <cell r="L98">
            <v>1.1940298507462686</v>
          </cell>
          <cell r="M98">
            <v>1.4619543662644845</v>
          </cell>
        </row>
        <row r="99">
          <cell r="A99" t="str">
            <v>Gebäude für Lenkung, Steuerung, Überwachung und Nachrichtenübermittlung (z.B. Stellwerk, Leuchtturm)</v>
          </cell>
          <cell r="B99">
            <v>98</v>
          </cell>
          <cell r="C99">
            <v>21</v>
          </cell>
          <cell r="D99">
            <v>24</v>
          </cell>
          <cell r="E99">
            <v>20</v>
          </cell>
          <cell r="F99">
            <v>26</v>
          </cell>
          <cell r="G99">
            <v>1.2612499999999998</v>
          </cell>
          <cell r="H99">
            <v>389.88539199704729</v>
          </cell>
          <cell r="I99">
            <v>0.96804582013348495</v>
          </cell>
          <cell r="J99">
            <v>1.5</v>
          </cell>
          <cell r="K99">
            <v>1.1686344692892074</v>
          </cell>
          <cell r="L99">
            <v>1.1940298507462686</v>
          </cell>
          <cell r="M99">
            <v>1.4094448758957956</v>
          </cell>
        </row>
        <row r="100">
          <cell r="A100" t="str">
            <v>Gebäude für Energieversorgung (z.B. Fernheizwerk, Tankstelle)</v>
          </cell>
          <cell r="B100">
            <v>99</v>
          </cell>
          <cell r="C100">
            <v>21</v>
          </cell>
          <cell r="D100">
            <v>24</v>
          </cell>
          <cell r="E100">
            <v>20</v>
          </cell>
          <cell r="F100">
            <v>26.000000000000007</v>
          </cell>
          <cell r="G100">
            <v>3.4115000000000006</v>
          </cell>
          <cell r="H100">
            <v>349.84398518695497</v>
          </cell>
          <cell r="I100">
            <v>0.96064983872894527</v>
          </cell>
          <cell r="J100">
            <v>1.5</v>
          </cell>
          <cell r="K100">
            <v>1.1647353960100346</v>
          </cell>
          <cell r="L100">
            <v>1.1940298507462686</v>
          </cell>
          <cell r="M100">
            <v>1.4619543662644845</v>
          </cell>
        </row>
        <row r="101">
          <cell r="A101" t="str">
            <v>Gebäude für Wasserversorgung</v>
          </cell>
          <cell r="B101">
            <v>100</v>
          </cell>
          <cell r="C101">
            <v>21</v>
          </cell>
          <cell r="D101">
            <v>24</v>
          </cell>
          <cell r="E101">
            <v>20</v>
          </cell>
          <cell r="F101">
            <v>26.000000000000007</v>
          </cell>
          <cell r="G101">
            <v>3.4115000000000006</v>
          </cell>
          <cell r="H101">
            <v>349.84398518695497</v>
          </cell>
          <cell r="I101">
            <v>0.96064983872894527</v>
          </cell>
          <cell r="J101">
            <v>1.5</v>
          </cell>
          <cell r="K101">
            <v>1.1647353960100346</v>
          </cell>
          <cell r="L101">
            <v>1.1940298507462686</v>
          </cell>
          <cell r="M101">
            <v>1.4619543662644845</v>
          </cell>
        </row>
        <row r="102">
          <cell r="A102" t="str">
            <v>Gebäude für Abwasserbehandlung</v>
          </cell>
          <cell r="B102">
            <v>101</v>
          </cell>
          <cell r="C102">
            <v>21</v>
          </cell>
          <cell r="D102">
            <v>24</v>
          </cell>
          <cell r="E102">
            <v>20</v>
          </cell>
          <cell r="F102">
            <v>26.000000000000007</v>
          </cell>
          <cell r="G102">
            <v>3.4115000000000006</v>
          </cell>
          <cell r="H102">
            <v>349.84398518695497</v>
          </cell>
          <cell r="I102">
            <v>0.96064983872894527</v>
          </cell>
          <cell r="J102">
            <v>1.5</v>
          </cell>
          <cell r="K102">
            <v>1.1647353960100346</v>
          </cell>
          <cell r="L102">
            <v>1.1940298507462686</v>
          </cell>
          <cell r="M102">
            <v>1.4619543662644845</v>
          </cell>
        </row>
        <row r="103">
          <cell r="A103" t="str">
            <v>Gebäude für Abfallbehandlung</v>
          </cell>
          <cell r="B103">
            <v>102</v>
          </cell>
          <cell r="C103">
            <v>21</v>
          </cell>
          <cell r="D103">
            <v>24</v>
          </cell>
          <cell r="E103">
            <v>20</v>
          </cell>
          <cell r="F103">
            <v>26.000000000000007</v>
          </cell>
          <cell r="G103">
            <v>3.4115000000000006</v>
          </cell>
          <cell r="H103">
            <v>349.84398518695497</v>
          </cell>
          <cell r="I103">
            <v>0.96064983872894527</v>
          </cell>
          <cell r="J103">
            <v>1.5</v>
          </cell>
          <cell r="K103">
            <v>1.1647353960100346</v>
          </cell>
          <cell r="L103">
            <v>1.1940298507462686</v>
          </cell>
          <cell r="M103">
            <v>1.4619543662644845</v>
          </cell>
        </row>
        <row r="104">
          <cell r="A104" t="str">
            <v>Verkehrsgebäude</v>
          </cell>
          <cell r="B104">
            <v>103</v>
          </cell>
          <cell r="C104">
            <v>21</v>
          </cell>
          <cell r="D104">
            <v>23.999999999999996</v>
          </cell>
          <cell r="E104">
            <v>20</v>
          </cell>
          <cell r="F104">
            <v>26</v>
          </cell>
          <cell r="G104">
            <v>6.2880500000000001</v>
          </cell>
          <cell r="H104">
            <v>260.62626007858137</v>
          </cell>
          <cell r="I104">
            <v>0.95204961863941817</v>
          </cell>
          <cell r="J104">
            <v>1.5</v>
          </cell>
          <cell r="K104">
            <v>1.1478437609015733</v>
          </cell>
          <cell r="L104">
            <v>1.1940298507462686</v>
          </cell>
          <cell r="M104">
            <v>1.6412323916557614</v>
          </cell>
        </row>
        <row r="105">
          <cell r="A105" t="str">
            <v>Park-/Garagengebäude, Fahrradparkhaus</v>
          </cell>
          <cell r="B105">
            <v>104</v>
          </cell>
          <cell r="C105">
            <v>13.618127566026562</v>
          </cell>
          <cell r="D105">
            <v>25.692970216524959</v>
          </cell>
          <cell r="E105">
            <v>15.214430894308942</v>
          </cell>
          <cell r="F105">
            <v>27.337398373983739</v>
          </cell>
          <cell r="G105">
            <v>1.8838922764227641</v>
          </cell>
          <cell r="H105">
            <v>165.71261506339152</v>
          </cell>
          <cell r="I105">
            <v>0.99147292852434443</v>
          </cell>
          <cell r="J105">
            <v>2.4</v>
          </cell>
          <cell r="K105">
            <v>1.7321909809708322</v>
          </cell>
          <cell r="L105">
            <v>1.1940298507462686</v>
          </cell>
          <cell r="M105">
            <v>2.2320642062926415</v>
          </cell>
        </row>
        <row r="106">
          <cell r="A106" t="str">
            <v>Halle für sonstige Verkehrsmittel (z.B. für Flugzeuge, Schienenfahrzeuge)</v>
          </cell>
          <cell r="B106">
            <v>105</v>
          </cell>
          <cell r="C106">
            <v>13.618127566026562</v>
          </cell>
          <cell r="D106">
            <v>25.692970216524959</v>
          </cell>
          <cell r="E106">
            <v>15.214430894308942</v>
          </cell>
          <cell r="F106">
            <v>27.337398373983739</v>
          </cell>
          <cell r="G106">
            <v>1.8838922764227641</v>
          </cell>
          <cell r="H106">
            <v>165.71261506339152</v>
          </cell>
          <cell r="I106">
            <v>0.99147292852434443</v>
          </cell>
          <cell r="J106">
            <v>2.4</v>
          </cell>
          <cell r="K106">
            <v>1.7321909809708322</v>
          </cell>
          <cell r="L106">
            <v>1.1940298507462686</v>
          </cell>
          <cell r="M106">
            <v>2.2320642062926415</v>
          </cell>
        </row>
        <row r="107">
          <cell r="A107" t="str">
            <v>Gebäude zur Pflege von Fahrzeugen (z.B. Waschstraße)</v>
          </cell>
          <cell r="B107">
            <v>106</v>
          </cell>
          <cell r="C107">
            <v>21</v>
          </cell>
          <cell r="D107">
            <v>24</v>
          </cell>
          <cell r="E107">
            <v>20</v>
          </cell>
          <cell r="F107">
            <v>26.000000000000007</v>
          </cell>
          <cell r="G107">
            <v>3.4115000000000006</v>
          </cell>
          <cell r="H107">
            <v>349.84398518695497</v>
          </cell>
          <cell r="I107">
            <v>0.96064983872894527</v>
          </cell>
          <cell r="J107">
            <v>1.5</v>
          </cell>
          <cell r="K107">
            <v>1.1647353960100346</v>
          </cell>
          <cell r="L107">
            <v>1.1940298507462686</v>
          </cell>
          <cell r="M107">
            <v>1.4619543662644845</v>
          </cell>
        </row>
        <row r="108">
          <cell r="A108" t="str">
            <v>Empfangsgebäude (Bahnhof, Busbahnhof, Flughafen, Schiffsterminal)</v>
          </cell>
          <cell r="B108">
            <v>107</v>
          </cell>
          <cell r="C108">
            <v>21</v>
          </cell>
          <cell r="D108">
            <v>23.999999999999996</v>
          </cell>
          <cell r="E108">
            <v>20</v>
          </cell>
          <cell r="F108">
            <v>26</v>
          </cell>
          <cell r="G108">
            <v>6.2880500000000001</v>
          </cell>
          <cell r="H108">
            <v>260.62626007858137</v>
          </cell>
          <cell r="I108">
            <v>0.95204961863941817</v>
          </cell>
          <cell r="J108">
            <v>1.5</v>
          </cell>
          <cell r="K108">
            <v>1.1478437609015733</v>
          </cell>
          <cell r="L108">
            <v>1.1940298507462686</v>
          </cell>
          <cell r="M108">
            <v>1.6412323916557614</v>
          </cell>
        </row>
        <row r="109">
          <cell r="A109" t="str">
            <v>Sonstiges Nichtwohngebäude</v>
          </cell>
          <cell r="B109">
            <v>108</v>
          </cell>
          <cell r="C109">
            <v>0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0.6</v>
          </cell>
          <cell r="K109">
            <v>0</v>
          </cell>
          <cell r="L109">
            <v>1.1940298507462686</v>
          </cell>
          <cell r="M109">
            <v>0</v>
          </cell>
        </row>
        <row r="110">
          <cell r="A110" t="str">
            <v>Wohnen</v>
          </cell>
          <cell r="B110">
            <v>109</v>
          </cell>
          <cell r="C110">
            <v>20</v>
          </cell>
          <cell r="D110">
            <v>26</v>
          </cell>
          <cell r="E110">
            <v>20</v>
          </cell>
          <cell r="F110">
            <v>28</v>
          </cell>
          <cell r="G110">
            <v>1</v>
          </cell>
          <cell r="H110">
            <v>200</v>
          </cell>
          <cell r="I110">
            <v>1</v>
          </cell>
          <cell r="J110">
            <v>1.25</v>
          </cell>
          <cell r="K110">
            <v>1</v>
          </cell>
          <cell r="L110">
            <v>1.1940298507462686</v>
          </cell>
          <cell r="M110">
            <v>1.25</v>
          </cell>
        </row>
        <row r="111">
          <cell r="A111" t="str">
            <v>Wohnen (EFH)</v>
          </cell>
          <cell r="B111">
            <v>110</v>
          </cell>
          <cell r="C111">
            <v>20</v>
          </cell>
          <cell r="D111">
            <v>26</v>
          </cell>
          <cell r="E111">
            <v>20</v>
          </cell>
          <cell r="F111">
            <v>28</v>
          </cell>
          <cell r="G111">
            <v>1</v>
          </cell>
          <cell r="H111">
            <v>200</v>
          </cell>
          <cell r="I111">
            <v>1</v>
          </cell>
          <cell r="J111">
            <v>1.25</v>
          </cell>
          <cell r="K111">
            <v>1</v>
          </cell>
          <cell r="L111">
            <v>1.1940298507462686</v>
          </cell>
          <cell r="M111">
            <v>1.25</v>
          </cell>
        </row>
        <row r="112">
          <cell r="A112" t="str">
            <v>Wohnen (MFH)</v>
          </cell>
          <cell r="B112">
            <v>111</v>
          </cell>
          <cell r="C112">
            <v>20</v>
          </cell>
          <cell r="D112">
            <v>26</v>
          </cell>
          <cell r="E112">
            <v>20</v>
          </cell>
          <cell r="F112">
            <v>28</v>
          </cell>
          <cell r="G112">
            <v>1</v>
          </cell>
          <cell r="H112">
            <v>200</v>
          </cell>
          <cell r="I112">
            <v>1</v>
          </cell>
          <cell r="J112">
            <v>1.25</v>
          </cell>
          <cell r="K112">
            <v>1</v>
          </cell>
          <cell r="L112">
            <v>1.1940298507462686</v>
          </cell>
          <cell r="M112">
            <v>1.25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sage_profiles"/>
      <sheetName val="usage_profile_variable_descript"/>
    </sheetNames>
    <sheetDataSet>
      <sheetData sheetId="0">
        <row r="2">
          <cell r="E2" t="str">
            <v/>
          </cell>
          <cell r="G2">
            <v>6.9476446192598296</v>
          </cell>
          <cell r="H2">
            <v>18.185218530336055</v>
          </cell>
          <cell r="I2">
            <v>11.237573911076225</v>
          </cell>
          <cell r="J2">
            <v>256.56317895606708</v>
          </cell>
          <cell r="K2">
            <v>2568.4262250899283</v>
          </cell>
          <cell r="L2">
            <v>315.23010876931272</v>
          </cell>
          <cell r="M2">
            <v>13.195567844561561</v>
          </cell>
          <cell r="N2">
            <v>256.56317895606708</v>
          </cell>
          <cell r="O2">
            <v>13.132596578468419</v>
          </cell>
          <cell r="P2">
            <v>328.47924720912613</v>
          </cell>
          <cell r="Q2">
            <v>0.68544477168104045</v>
          </cell>
          <cell r="R2">
            <v>0.94529339459607398</v>
          </cell>
          <cell r="S2">
            <v>0.49809136778918478</v>
          </cell>
          <cell r="T2">
            <v>1.3493647407171647</v>
          </cell>
          <cell r="U2">
            <v>0.87771348789381187</v>
          </cell>
          <cell r="V2">
            <v>1.1176933003462188</v>
          </cell>
          <cell r="W2">
            <v>20.802614610358102</v>
          </cell>
          <cell r="X2">
            <v>24.053139572238031</v>
          </cell>
          <cell r="Y2">
            <v>3.9107322617775977</v>
          </cell>
          <cell r="Z2">
            <v>19.900379204025931</v>
          </cell>
          <cell r="AA2">
            <v>26.033088345541831</v>
          </cell>
          <cell r="AB2">
            <v>0.58151411892316318</v>
          </cell>
          <cell r="AC2">
            <v>5.01315474713825</v>
          </cell>
          <cell r="AD2">
            <v>1.7366067169000676</v>
          </cell>
          <cell r="AE2">
            <v>0.23036083927150741</v>
          </cell>
          <cell r="AF2">
            <v>0.86095231949745843</v>
          </cell>
          <cell r="AG2">
            <v>30.744681541498721</v>
          </cell>
          <cell r="AH2">
            <v>56.342307972960889</v>
          </cell>
        </row>
        <row r="3">
          <cell r="E3" t="str">
            <v>Parlaments- oder Gerichtsgebäude</v>
          </cell>
          <cell r="F3" t="str">
            <v>Parliament or Court Building</v>
          </cell>
          <cell r="G3">
            <v>6.9871495560211505</v>
          </cell>
          <cell r="H3">
            <v>18.048927466826296</v>
          </cell>
          <cell r="I3">
            <v>11.061777910805146</v>
          </cell>
          <cell r="J3">
            <v>251.97211744693442</v>
          </cell>
          <cell r="K3">
            <v>2543.8344407861919</v>
          </cell>
          <cell r="L3">
            <v>243.42516212710768</v>
          </cell>
          <cell r="M3">
            <v>13.066147859922179</v>
          </cell>
          <cell r="N3">
            <v>251.97211744693442</v>
          </cell>
          <cell r="O3">
            <v>13.066147859922179</v>
          </cell>
          <cell r="P3">
            <v>287.37158638504508</v>
          </cell>
          <cell r="Q3">
            <v>0.63869716664772602</v>
          </cell>
          <cell r="R3">
            <v>0.94736314423272938</v>
          </cell>
          <cell r="S3">
            <v>0.62497506137697278</v>
          </cell>
          <cell r="T3">
            <v>1.0944055407938147</v>
          </cell>
          <cell r="U3">
            <v>0.89057473379260088</v>
          </cell>
          <cell r="V3">
            <v>1.1775918580130997</v>
          </cell>
          <cell r="W3">
            <v>21.000000000000004</v>
          </cell>
          <cell r="X3">
            <v>24</v>
          </cell>
          <cell r="Y3">
            <v>3.9942059416156623</v>
          </cell>
          <cell r="Z3">
            <v>19.999999999999996</v>
          </cell>
          <cell r="AA3">
            <v>26.000000000000004</v>
          </cell>
          <cell r="AB3">
            <v>0.46251991031115108</v>
          </cell>
          <cell r="AC3">
            <v>4.0341341341341339</v>
          </cell>
          <cell r="AD3">
            <v>1.4284284284284281</v>
          </cell>
          <cell r="AE3">
            <v>0.1984275589372268</v>
          </cell>
          <cell r="AF3">
            <v>0.85069566582064782</v>
          </cell>
          <cell r="AG3">
            <v>22.222647909807439</v>
          </cell>
          <cell r="AH3">
            <v>32.672892347600509</v>
          </cell>
        </row>
        <row r="4">
          <cell r="E4" t="str">
            <v>Öffentliches Verwaltungs- oder Ämtergebäude, Rathaus</v>
          </cell>
          <cell r="F4" t="str">
            <v>Public Administration or Office Building, Town Hall</v>
          </cell>
          <cell r="G4">
            <v>7.0592321859730918</v>
          </cell>
          <cell r="H4">
            <v>18.165505538220042</v>
          </cell>
          <cell r="I4">
            <v>11.106273352246944</v>
          </cell>
          <cell r="J4">
            <v>253.66283352121476</v>
          </cell>
          <cell r="K4">
            <v>2558.08620194369</v>
          </cell>
          <cell r="L4">
            <v>259.1741582013085</v>
          </cell>
          <cell r="M4">
            <v>13.10539306182978</v>
          </cell>
          <cell r="N4">
            <v>253.72170949794452</v>
          </cell>
          <cell r="O4">
            <v>13.104308698351142</v>
          </cell>
          <cell r="P4">
            <v>322.32661851087772</v>
          </cell>
          <cell r="Q4">
            <v>0.68522807165573041</v>
          </cell>
          <cell r="R4">
            <v>0.93754401109812091</v>
          </cell>
          <cell r="S4">
            <v>0.54056170646056356</v>
          </cell>
          <cell r="T4">
            <v>1.1460690713759225</v>
          </cell>
          <cell r="U4">
            <v>0.87039775415553222</v>
          </cell>
          <cell r="V4">
            <v>1.1362350235517331</v>
          </cell>
          <cell r="W4">
            <v>20.990023500920259</v>
          </cell>
          <cell r="X4">
            <v>24.005996149216248</v>
          </cell>
          <cell r="Y4">
            <v>3.9999999999999996</v>
          </cell>
          <cell r="Z4">
            <v>19.986926007326002</v>
          </cell>
          <cell r="AA4">
            <v>26.008127605727612</v>
          </cell>
          <cell r="AB4">
            <v>0.58055802154992708</v>
          </cell>
          <cell r="AC4">
            <v>4.5429274642024655</v>
          </cell>
          <cell r="AD4">
            <v>1.6183657842157841</v>
          </cell>
          <cell r="AE4">
            <v>0.21866547843351933</v>
          </cell>
          <cell r="AF4">
            <v>0.82790790396475866</v>
          </cell>
          <cell r="AG4">
            <v>28.508190535884545</v>
          </cell>
          <cell r="AH4">
            <v>38.197156539659595</v>
          </cell>
        </row>
        <row r="5">
          <cell r="E5" t="str">
            <v>Bürogebäude</v>
          </cell>
          <cell r="F5" t="str">
            <v>Office Building</v>
          </cell>
          <cell r="G5">
            <v>6.8218918371501243</v>
          </cell>
          <cell r="H5">
            <v>18.280711565531028</v>
          </cell>
          <cell r="I5">
            <v>11.458819728380901</v>
          </cell>
          <cell r="J5">
            <v>261.80851602264795</v>
          </cell>
          <cell r="K5">
            <v>2590.0228145188926</v>
          </cell>
          <cell r="L5">
            <v>411.43147681744398</v>
          </cell>
          <cell r="M5">
            <v>13.447432425129044</v>
          </cell>
          <cell r="N5">
            <v>261.86130741463438</v>
          </cell>
          <cell r="O5">
            <v>13.321280124208599</v>
          </cell>
          <cell r="P5">
            <v>303.05153903258076</v>
          </cell>
          <cell r="Q5">
            <v>0.67845279959207572</v>
          </cell>
          <cell r="R5">
            <v>0.94839314710608313</v>
          </cell>
          <cell r="S5">
            <v>0.51195063598163004</v>
          </cell>
          <cell r="T5">
            <v>1.3709280060502034</v>
          </cell>
          <cell r="U5">
            <v>0.8762444254430638</v>
          </cell>
          <cell r="V5">
            <v>1.1549883254332467</v>
          </cell>
          <cell r="W5">
            <v>20.654317387705849</v>
          </cell>
          <cell r="X5">
            <v>24.099088046179762</v>
          </cell>
          <cell r="Y5">
            <v>3.8060535303587706</v>
          </cell>
          <cell r="Z5">
            <v>19.81847563924627</v>
          </cell>
          <cell r="AA5">
            <v>26.068869128356805</v>
          </cell>
          <cell r="AB5">
            <v>0.52998205564920553</v>
          </cell>
          <cell r="AC5">
            <v>5.04732008444822</v>
          </cell>
          <cell r="AD5">
            <v>1.6450559396675006</v>
          </cell>
          <cell r="AE5">
            <v>0.23037560938888096</v>
          </cell>
          <cell r="AF5">
            <v>0.87816493598242218</v>
          </cell>
          <cell r="AG5">
            <v>32.925601522244058</v>
          </cell>
          <cell r="AH5">
            <v>66.120123339392336</v>
          </cell>
        </row>
        <row r="6">
          <cell r="E6" t="str">
            <v>Rundfunk- oder Fernsehanstalt</v>
          </cell>
          <cell r="F6" t="str">
            <v>Broadcasting or Television Station</v>
          </cell>
          <cell r="G6">
            <v>6.8218918371501243</v>
          </cell>
          <cell r="H6">
            <v>18.280711565531028</v>
          </cell>
          <cell r="I6">
            <v>11.458819728380901</v>
          </cell>
          <cell r="J6">
            <v>261.80851602264795</v>
          </cell>
          <cell r="K6">
            <v>2590.0228145188926</v>
          </cell>
          <cell r="L6">
            <v>411.43147681744398</v>
          </cell>
          <cell r="M6">
            <v>13.447432425129044</v>
          </cell>
          <cell r="N6">
            <v>261.86130741463438</v>
          </cell>
          <cell r="O6">
            <v>13.321280124208599</v>
          </cell>
          <cell r="P6">
            <v>303.05153903258076</v>
          </cell>
          <cell r="Q6">
            <v>0.67845279959207572</v>
          </cell>
          <cell r="R6">
            <v>0.94839314710608313</v>
          </cell>
          <cell r="S6">
            <v>0.51195063598163004</v>
          </cell>
          <cell r="T6">
            <v>1.3709280060502034</v>
          </cell>
          <cell r="U6">
            <v>0.8762444254430638</v>
          </cell>
          <cell r="V6">
            <v>1.1549883254332467</v>
          </cell>
          <cell r="W6">
            <v>20.654317387705849</v>
          </cell>
          <cell r="X6">
            <v>24.099088046179762</v>
          </cell>
          <cell r="Y6">
            <v>3.8060535303587706</v>
          </cell>
          <cell r="Z6">
            <v>19.81847563924627</v>
          </cell>
          <cell r="AA6">
            <v>26.068869128356805</v>
          </cell>
          <cell r="AB6">
            <v>0.52998205564920553</v>
          </cell>
          <cell r="AC6">
            <v>5.04732008444822</v>
          </cell>
          <cell r="AD6">
            <v>1.6450559396675006</v>
          </cell>
          <cell r="AE6">
            <v>0.23037560938888096</v>
          </cell>
          <cell r="AF6">
            <v>0.87816493598242218</v>
          </cell>
          <cell r="AG6">
            <v>32.925601522244058</v>
          </cell>
          <cell r="AH6">
            <v>66.120123339392336</v>
          </cell>
        </row>
        <row r="7">
          <cell r="E7" t="str">
            <v>Polizeipräsidium oder -station, Bürogebäude sonstiger Bereitschaftsdienste</v>
          </cell>
          <cell r="F7" t="str">
            <v>Police Headquarters or Station, Office Building for Other Emergency Services</v>
          </cell>
          <cell r="G7">
            <v>6.5292465652959901</v>
          </cell>
          <cell r="H7">
            <v>18.352777816536271</v>
          </cell>
          <cell r="I7">
            <v>11.823531251240277</v>
          </cell>
          <cell r="J7">
            <v>267.41600231119696</v>
          </cell>
          <cell r="K7">
            <v>2619.5563537624139</v>
          </cell>
          <cell r="L7">
            <v>546.16913319214359</v>
          </cell>
          <cell r="M7">
            <v>13.718263262707755</v>
          </cell>
          <cell r="N7">
            <v>267.41600231119696</v>
          </cell>
          <cell r="O7">
            <v>13.301421853094203</v>
          </cell>
          <cell r="P7">
            <v>242.53930196222049</v>
          </cell>
          <cell r="Q7">
            <v>0.62097178533828623</v>
          </cell>
          <cell r="R7">
            <v>0.96526248456667696</v>
          </cell>
          <cell r="S7">
            <v>0.62394733186959428</v>
          </cell>
          <cell r="T7">
            <v>1.4440640638531876</v>
          </cell>
          <cell r="U7">
            <v>0.86820124907855867</v>
          </cell>
          <cell r="V7">
            <v>1.2404126739421804</v>
          </cell>
          <cell r="W7">
            <v>19.9084319068184</v>
          </cell>
          <cell r="X7">
            <v>24.295005484505943</v>
          </cell>
          <cell r="Y7">
            <v>3.3950395766816741</v>
          </cell>
          <cell r="Z7">
            <v>19.455880321145955</v>
          </cell>
          <cell r="AA7">
            <v>26.190099924911909</v>
          </cell>
          <cell r="AB7">
            <v>0.32445525447161516</v>
          </cell>
          <cell r="AC7">
            <v>5.5402038785883434</v>
          </cell>
          <cell r="AD7">
            <v>1.4390973545890371</v>
          </cell>
          <cell r="AE7">
            <v>0.19340369785957634</v>
          </cell>
          <cell r="AF7">
            <v>0.90362281210387141</v>
          </cell>
          <cell r="AG7">
            <v>30.754063561692025</v>
          </cell>
          <cell r="AH7">
            <v>42.886379666445244</v>
          </cell>
        </row>
        <row r="8">
          <cell r="E8" t="str">
            <v/>
          </cell>
          <cell r="G8">
            <v>7.0487779511180433</v>
          </cell>
          <cell r="H8">
            <v>18.023296931877272</v>
          </cell>
          <cell r="I8">
            <v>10.97451898075923</v>
          </cell>
          <cell r="J8">
            <v>246.36087945413192</v>
          </cell>
          <cell r="K8">
            <v>2469.570150806032</v>
          </cell>
          <cell r="L8">
            <v>234.12199687987521</v>
          </cell>
          <cell r="M8">
            <v>14.409568382735307</v>
          </cell>
          <cell r="N8">
            <v>246.44806671721</v>
          </cell>
          <cell r="O8">
            <v>12.945189807592302</v>
          </cell>
          <cell r="P8">
            <v>308.02918877937833</v>
          </cell>
          <cell r="Q8">
            <v>0.67752084912812738</v>
          </cell>
          <cell r="R8">
            <v>0.95130830174374537</v>
          </cell>
          <cell r="S8">
            <v>0.57024071266110699</v>
          </cell>
          <cell r="T8">
            <v>1.2718466641394999</v>
          </cell>
          <cell r="U8">
            <v>0.925576573161486</v>
          </cell>
          <cell r="V8">
            <v>1.1521986353297953</v>
          </cell>
          <cell r="W8">
            <v>21.091626231993938</v>
          </cell>
          <cell r="X8">
            <v>24.031387414708107</v>
          </cell>
          <cell r="Y8">
            <v>3.9692645943896894</v>
          </cell>
          <cell r="Z8">
            <v>19.914085914085916</v>
          </cell>
          <cell r="AA8">
            <v>26.039960039960036</v>
          </cell>
          <cell r="AB8">
            <v>0.50127748294162244</v>
          </cell>
          <cell r="AC8">
            <v>9.2837162837162843</v>
          </cell>
          <cell r="AD8">
            <v>1.7902097902097902</v>
          </cell>
          <cell r="AE8">
            <v>0.16911485974222898</v>
          </cell>
          <cell r="AF8">
            <v>0.88323540561031089</v>
          </cell>
          <cell r="AG8">
            <v>52.550348413936561</v>
          </cell>
          <cell r="AH8">
            <v>43.685657826313061</v>
          </cell>
        </row>
        <row r="9">
          <cell r="E9" t="str">
            <v>Hörsaalgebäude</v>
          </cell>
          <cell r="F9" t="str">
            <v>Lecture Hall Building</v>
          </cell>
          <cell r="G9">
            <v>7.1677272554481917</v>
          </cell>
          <cell r="H9">
            <v>18.027785034385989</v>
          </cell>
          <cell r="I9">
            <v>10.860057778937801</v>
          </cell>
          <cell r="J9">
            <v>233.70191933191316</v>
          </cell>
          <cell r="K9">
            <v>2332.8338793096505</v>
          </cell>
          <cell r="L9">
            <v>205.17377778118734</v>
          </cell>
          <cell r="M9">
            <v>13.005929912342456</v>
          </cell>
          <cell r="N9">
            <v>233.88565359648953</v>
          </cell>
          <cell r="O9">
            <v>12.878755265291515</v>
          </cell>
          <cell r="P9">
            <v>248.763516768617</v>
          </cell>
          <cell r="Q9">
            <v>0.56502933341644856</v>
          </cell>
          <cell r="R9">
            <v>0.96876747639890215</v>
          </cell>
          <cell r="S9">
            <v>0.66606340128948738</v>
          </cell>
          <cell r="T9">
            <v>1.320384147411978</v>
          </cell>
          <cell r="U9">
            <v>0.92843509678214131</v>
          </cell>
          <cell r="V9">
            <v>1.1703875176559095</v>
          </cell>
          <cell r="W9">
            <v>20.997639792579136</v>
          </cell>
          <cell r="X9">
            <v>24.004655236669993</v>
          </cell>
          <cell r="Y9">
            <v>4</v>
          </cell>
          <cell r="Z9">
            <v>19.990647058823527</v>
          </cell>
          <cell r="AA9">
            <v>26.005411764705883</v>
          </cell>
          <cell r="AB9">
            <v>0.36106927139617129</v>
          </cell>
          <cell r="AC9">
            <v>10.842511764705883</v>
          </cell>
          <cell r="AD9">
            <v>1.2780735294117647</v>
          </cell>
          <cell r="AE9">
            <v>0.18872768364387851</v>
          </cell>
          <cell r="AF9">
            <v>0.85805423680845905</v>
          </cell>
          <cell r="AG9">
            <v>93.157451806249824</v>
          </cell>
          <cell r="AH9">
            <v>17.581380475969695</v>
          </cell>
        </row>
        <row r="10">
          <cell r="E10" t="str">
            <v>Verwaltungs- oder Seminargebäude</v>
          </cell>
          <cell r="F10" t="str">
            <v>Administration or Seminar Building</v>
          </cell>
          <cell r="G10">
            <v>7.0864830499784679</v>
          </cell>
          <cell r="H10">
            <v>18.026455568999815</v>
          </cell>
          <cell r="I10">
            <v>10.939972519021349</v>
          </cell>
          <cell r="J10">
            <v>248.23164193429864</v>
          </cell>
          <cell r="K10">
            <v>2485.508275055884</v>
          </cell>
          <cell r="L10">
            <v>230.13906605688973</v>
          </cell>
          <cell r="M10">
            <v>14.101351489920226</v>
          </cell>
          <cell r="N10">
            <v>248.31787404113646</v>
          </cell>
          <cell r="O10">
            <v>12.905723836672754</v>
          </cell>
          <cell r="P10">
            <v>318.72886376076957</v>
          </cell>
          <cell r="Q10">
            <v>0.68362414798929205</v>
          </cell>
          <cell r="R10">
            <v>0.94524441178455454</v>
          </cell>
          <cell r="S10">
            <v>0.55282428896004066</v>
          </cell>
          <cell r="T10">
            <v>1.2638186951207622</v>
          </cell>
          <cell r="U10">
            <v>0.92295011285158313</v>
          </cell>
          <cell r="V10">
            <v>1.1411657081155659</v>
          </cell>
          <cell r="W10">
            <v>21.001147261943146</v>
          </cell>
          <cell r="X10">
            <v>24.062087116923237</v>
          </cell>
          <cell r="Y10">
            <v>3.9917517115198589</v>
          </cell>
          <cell r="Z10">
            <v>19.855999999999998</v>
          </cell>
          <cell r="AA10">
            <v>26.08</v>
          </cell>
          <cell r="AB10">
            <v>0.52629704336350203</v>
          </cell>
          <cell r="AC10">
            <v>8.1978000000000009</v>
          </cell>
          <cell r="AD10">
            <v>1.7614999999999996</v>
          </cell>
          <cell r="AE10">
            <v>0.1849866152773299</v>
          </cell>
          <cell r="AF10">
            <v>0.87096115056125845</v>
          </cell>
          <cell r="AG10">
            <v>47.561165685691442</v>
          </cell>
          <cell r="AH10">
            <v>44.654334406595432</v>
          </cell>
        </row>
        <row r="11">
          <cell r="E11" t="str">
            <v>Institutsgebäude für Forschung und Lehre (Labor mit geringen Anforderungen an die Raumlufttechnik, z.B. Medizin, Informatik)</v>
          </cell>
          <cell r="F11" t="str">
            <v>Institute Building for Research and Teaching (Laboratory with low requirements for room air technology, e.g., Medicine, Computer Science)</v>
          </cell>
          <cell r="G11">
            <v>7.113391188955541</v>
          </cell>
          <cell r="H11">
            <v>18.015316747262244</v>
          </cell>
          <cell r="I11">
            <v>10.901925558306703</v>
          </cell>
          <cell r="J11">
            <v>243.67855924659435</v>
          </cell>
          <cell r="K11">
            <v>2437.0076185092466</v>
          </cell>
          <cell r="L11">
            <v>219.8489818794508</v>
          </cell>
          <cell r="M11">
            <v>13.831303629129447</v>
          </cell>
          <cell r="N11">
            <v>243.76764979439315</v>
          </cell>
          <cell r="O11">
            <v>12.877994055562667</v>
          </cell>
          <cell r="P11">
            <v>307.56566727991901</v>
          </cell>
          <cell r="Q11">
            <v>0.65516230125746655</v>
          </cell>
          <cell r="R11">
            <v>0.95101693537484966</v>
          </cell>
          <cell r="S11">
            <v>0.57180454948729731</v>
          </cell>
          <cell r="T11">
            <v>1.2836830689943162</v>
          </cell>
          <cell r="U11">
            <v>0.91671280741719219</v>
          </cell>
          <cell r="V11">
            <v>1.1448536611076936</v>
          </cell>
          <cell r="W11">
            <v>21.01613300025376</v>
          </cell>
          <cell r="X11">
            <v>24.036588872657696</v>
          </cell>
          <cell r="Y11">
            <v>3.9950724940645959</v>
          </cell>
          <cell r="Z11">
            <v>19.900285714285712</v>
          </cell>
          <cell r="AA11">
            <v>26.047154445554447</v>
          </cell>
          <cell r="AB11">
            <v>0.4962277759506441</v>
          </cell>
          <cell r="AC11">
            <v>9.1891631568431524</v>
          </cell>
          <cell r="AD11">
            <v>1.6911291708291707</v>
          </cell>
          <cell r="AE11">
            <v>0.19085367431282357</v>
          </cell>
          <cell r="AF11">
            <v>0.86456136355953705</v>
          </cell>
          <cell r="AG11">
            <v>61.793723338476994</v>
          </cell>
          <cell r="AH11">
            <v>37.609775070895708</v>
          </cell>
        </row>
        <row r="12">
          <cell r="E12" t="str">
            <v>Institutsgebäude für Forschung und Lehre (Labor mit hohen Anforderungen an die Raumlufttechnik, z.B. Chemie, Tierforschung)</v>
          </cell>
          <cell r="F12" t="str">
            <v>Institute Building for Research and Teaching (Laboratory with high requirements for room air technology, e.g., Chemistry, Animal Research)</v>
          </cell>
          <cell r="G12">
            <v>6.9987708303947436</v>
          </cell>
          <cell r="H12">
            <v>17.925242307614806</v>
          </cell>
          <cell r="I12">
            <v>10.92647147722006</v>
          </cell>
          <cell r="J12">
            <v>249.32458948672937</v>
          </cell>
          <cell r="K12">
            <v>2517.4121546738675</v>
          </cell>
          <cell r="L12">
            <v>206.82586092248172</v>
          </cell>
          <cell r="M12">
            <v>15.648779898039372</v>
          </cell>
          <cell r="N12">
            <v>249.32458948672937</v>
          </cell>
          <cell r="O12">
            <v>12.878110705865756</v>
          </cell>
          <cell r="P12">
            <v>301.95261208893351</v>
          </cell>
          <cell r="Q12">
            <v>0.70526474970862041</v>
          </cell>
          <cell r="R12">
            <v>0.95086347944114136</v>
          </cell>
          <cell r="S12">
            <v>0.59483225387645522</v>
          </cell>
          <cell r="T12">
            <v>1.2092953777607296</v>
          </cell>
          <cell r="U12">
            <v>0.95693926026467613</v>
          </cell>
          <cell r="V12">
            <v>1.2109735766660275</v>
          </cell>
          <cell r="W12">
            <v>21.177214116050223</v>
          </cell>
          <cell r="X12">
            <v>24.033593484899896</v>
          </cell>
          <cell r="Y12">
            <v>3.9878284475000365</v>
          </cell>
          <cell r="Z12">
            <v>19.868868868868869</v>
          </cell>
          <cell r="AA12">
            <v>26.04404404404405</v>
          </cell>
          <cell r="AB12">
            <v>0.46742449949100784</v>
          </cell>
          <cell r="AC12">
            <v>8.6904904904904914</v>
          </cell>
          <cell r="AD12">
            <v>1.9169169169169169</v>
          </cell>
          <cell r="AE12">
            <v>0.1006366090792405</v>
          </cell>
          <cell r="AF12">
            <v>0.92366039155515556</v>
          </cell>
          <cell r="AG12">
            <v>25.695407741753478</v>
          </cell>
          <cell r="AH12">
            <v>48.604590243214375</v>
          </cell>
        </row>
        <row r="13">
          <cell r="E13" t="str">
            <v>Bürogebäude von Forschungsanstalten ohne Lehre</v>
          </cell>
          <cell r="F13" t="str">
            <v>Office Building of Research Institutions without Teaching</v>
          </cell>
          <cell r="G13">
            <v>6.7895594136109017</v>
          </cell>
          <cell r="H13">
            <v>18.20285248897541</v>
          </cell>
          <cell r="I13">
            <v>11.413293075364505</v>
          </cell>
          <cell r="J13">
            <v>257.90423413764773</v>
          </cell>
          <cell r="K13">
            <v>2589.2198164554447</v>
          </cell>
          <cell r="L13">
            <v>354.31679313495687</v>
          </cell>
          <cell r="M13">
            <v>15.747248818084305</v>
          </cell>
          <cell r="N13">
            <v>257.90423413764773</v>
          </cell>
          <cell r="O13">
            <v>13.34368916610385</v>
          </cell>
          <cell r="P13">
            <v>313.38988596649995</v>
          </cell>
          <cell r="Q13">
            <v>0.74448002673312796</v>
          </cell>
          <cell r="R13">
            <v>0.9519435819607075</v>
          </cell>
          <cell r="S13">
            <v>0.53144797482630424</v>
          </cell>
          <cell r="T13">
            <v>1.2346200971860595</v>
          </cell>
          <cell r="U13">
            <v>0.93902340541067364</v>
          </cell>
          <cell r="V13">
            <v>1.1464578605143338</v>
          </cell>
          <cell r="W13">
            <v>21.420991075033758</v>
          </cell>
          <cell r="X13">
            <v>23.999999999999996</v>
          </cell>
          <cell r="Y13">
            <v>3.7194692360173196</v>
          </cell>
          <cell r="Z13">
            <v>20.045954045954041</v>
          </cell>
          <cell r="AA13">
            <v>25.999999999999996</v>
          </cell>
          <cell r="AB13">
            <v>0.57193578479831786</v>
          </cell>
          <cell r="AC13">
            <v>9.8848651348651337</v>
          </cell>
          <cell r="AD13">
            <v>2.1253746253746248</v>
          </cell>
          <cell r="AE13">
            <v>0.13692896228122692</v>
          </cell>
          <cell r="AF13">
            <v>0.91875635259882193</v>
          </cell>
          <cell r="AG13">
            <v>32.654840888323861</v>
          </cell>
          <cell r="AH13">
            <v>50.520678558658773</v>
          </cell>
        </row>
        <row r="14">
          <cell r="E14" t="str">
            <v>Laborgebäude von Forschungsanstalten und Unternehmen (Labor mit geringen Anforderungen an die Raumlufttechnik)</v>
          </cell>
          <cell r="F14" t="str">
            <v>Laboratory Building of Research Institutions and Companies (Laboratory with low requirements for room air technology)</v>
          </cell>
          <cell r="G14">
            <v>6.9810859056902732</v>
          </cell>
          <cell r="H14">
            <v>17.962452614477407</v>
          </cell>
          <cell r="I14">
            <v>10.981366708787132</v>
          </cell>
          <cell r="J14">
            <v>250.29260380859839</v>
          </cell>
          <cell r="K14">
            <v>2527.6801051005878</v>
          </cell>
          <cell r="L14">
            <v>220.87476181880174</v>
          </cell>
          <cell r="M14">
            <v>16.19644182361554</v>
          </cell>
          <cell r="N14">
            <v>250.29260380859839</v>
          </cell>
          <cell r="O14">
            <v>12.942134504683393</v>
          </cell>
          <cell r="P14">
            <v>302.97827571972863</v>
          </cell>
          <cell r="Q14">
            <v>0.7345020438430826</v>
          </cell>
          <cell r="R14">
            <v>0.95412359497203647</v>
          </cell>
          <cell r="S14">
            <v>0.58210477481196288</v>
          </cell>
          <cell r="T14">
            <v>1.2525187306620298</v>
          </cell>
          <cell r="U14">
            <v>0.96171821632225141</v>
          </cell>
          <cell r="V14">
            <v>1.1888591373849771</v>
          </cell>
          <cell r="W14">
            <v>21.253403665401517</v>
          </cell>
          <cell r="X14">
            <v>24.015123342916322</v>
          </cell>
          <cell r="Y14">
            <v>4.0000000000000009</v>
          </cell>
          <cell r="Z14">
            <v>19.919080919080923</v>
          </cell>
          <cell r="AA14">
            <v>26.019980019980022</v>
          </cell>
          <cell r="AB14">
            <v>0.490284896017885</v>
          </cell>
          <cell r="AC14">
            <v>9.4403596403596417</v>
          </cell>
          <cell r="AD14">
            <v>2.1128871128871132</v>
          </cell>
          <cell r="AE14">
            <v>9.1635037936211639E-2</v>
          </cell>
          <cell r="AF14">
            <v>0.94816419420710218</v>
          </cell>
          <cell r="AG14">
            <v>25.040255129670857</v>
          </cell>
          <cell r="AH14">
            <v>56.707784262992156</v>
          </cell>
        </row>
        <row r="15">
          <cell r="E15" t="str">
            <v>Laborgebäude von Forschungsanstalten und Unternehmen (Labor mit hohen Anforderungen an die Raumlufttechnik)</v>
          </cell>
          <cell r="F15" t="str">
            <v>Laboratory Building of Research Institutions and Companies (Laboratory with high requirements for room air technology)</v>
          </cell>
          <cell r="G15">
            <v>6.9810859056902732</v>
          </cell>
          <cell r="H15">
            <v>17.962452614477407</v>
          </cell>
          <cell r="I15">
            <v>10.981366708787132</v>
          </cell>
          <cell r="J15">
            <v>250.29260380859839</v>
          </cell>
          <cell r="K15">
            <v>2527.6801051005878</v>
          </cell>
          <cell r="L15">
            <v>220.87476181880174</v>
          </cell>
          <cell r="M15">
            <v>16.19644182361554</v>
          </cell>
          <cell r="N15">
            <v>250.29260380859839</v>
          </cell>
          <cell r="O15">
            <v>12.942134504683393</v>
          </cell>
          <cell r="P15">
            <v>302.97827571972863</v>
          </cell>
          <cell r="Q15">
            <v>0.7345020438430826</v>
          </cell>
          <cell r="R15">
            <v>0.95412359497203647</v>
          </cell>
          <cell r="S15">
            <v>0.58210477481196288</v>
          </cell>
          <cell r="T15">
            <v>1.2525187306620298</v>
          </cell>
          <cell r="U15">
            <v>0.96171821632225141</v>
          </cell>
          <cell r="V15">
            <v>1.1888591373849771</v>
          </cell>
          <cell r="W15">
            <v>21.253403665401517</v>
          </cell>
          <cell r="X15">
            <v>24.015123342916322</v>
          </cell>
          <cell r="Y15">
            <v>4.0000000000000009</v>
          </cell>
          <cell r="Z15">
            <v>19.919080919080923</v>
          </cell>
          <cell r="AA15">
            <v>26.019980019980022</v>
          </cell>
          <cell r="AB15">
            <v>0.490284896017885</v>
          </cell>
          <cell r="AC15">
            <v>9.4403596403596417</v>
          </cell>
          <cell r="AD15">
            <v>2.1128871128871132</v>
          </cell>
          <cell r="AE15">
            <v>9.1635037936211639E-2</v>
          </cell>
          <cell r="AF15">
            <v>0.94816419420710218</v>
          </cell>
          <cell r="AG15">
            <v>25.040255129670857</v>
          </cell>
          <cell r="AH15">
            <v>56.707784262992156</v>
          </cell>
        </row>
        <row r="16">
          <cell r="E16" t="str">
            <v/>
          </cell>
          <cell r="G16">
            <v>6.5397929192999991</v>
          </cell>
          <cell r="H16">
            <v>18.84042491883897</v>
          </cell>
          <cell r="I16">
            <v>12.300631999538968</v>
          </cell>
          <cell r="J16">
            <v>278.66794516611651</v>
          </cell>
          <cell r="K16">
            <v>2729.0530956451585</v>
          </cell>
          <cell r="L16">
            <v>698.73874791094374</v>
          </cell>
          <cell r="M16">
            <v>14.145263845400239</v>
          </cell>
          <cell r="N16">
            <v>278.66794516611651</v>
          </cell>
          <cell r="O16">
            <v>14.056899168219456</v>
          </cell>
          <cell r="P16">
            <v>295.73613145639615</v>
          </cell>
          <cell r="Q16">
            <v>0.66382044370594095</v>
          </cell>
          <cell r="R16">
            <v>0.98086311206339183</v>
          </cell>
          <cell r="S16">
            <v>0.40389702873812722</v>
          </cell>
          <cell r="T16">
            <v>1.2494263931011003</v>
          </cell>
          <cell r="U16">
            <v>0.90882695593237262</v>
          </cell>
          <cell r="V16">
            <v>1.0953877195338682</v>
          </cell>
          <cell r="W16">
            <v>21.469586184709858</v>
          </cell>
          <cell r="X16">
            <v>24.032832865348404</v>
          </cell>
          <cell r="Y16">
            <v>2.8989745976318604</v>
          </cell>
          <cell r="Z16">
            <v>19.998992950654586</v>
          </cell>
          <cell r="AA16">
            <v>26.018126888217523</v>
          </cell>
          <cell r="AB16">
            <v>0.48128632869721111</v>
          </cell>
          <cell r="AC16">
            <v>6.5288016112789542</v>
          </cell>
          <cell r="AD16">
            <v>1.7573011077542802</v>
          </cell>
          <cell r="AE16">
            <v>0.19683946190581791</v>
          </cell>
          <cell r="AF16">
            <v>0.85416985510686616</v>
          </cell>
          <cell r="AG16">
            <v>45.968572910463536</v>
          </cell>
          <cell r="AH16">
            <v>25.24920759936224</v>
          </cell>
        </row>
        <row r="17">
          <cell r="E17" t="str">
            <v>Hochschulklinik</v>
          </cell>
          <cell r="F17" t="str">
            <v>University Hospital</v>
          </cell>
          <cell r="G17">
            <v>6.5397929192999991</v>
          </cell>
          <cell r="H17">
            <v>18.84042491883897</v>
          </cell>
          <cell r="I17">
            <v>12.300631999538968</v>
          </cell>
          <cell r="J17">
            <v>278.66794516611651</v>
          </cell>
          <cell r="K17">
            <v>2729.0530956451585</v>
          </cell>
          <cell r="L17">
            <v>698.73874791094374</v>
          </cell>
          <cell r="M17">
            <v>14.145263845400239</v>
          </cell>
          <cell r="N17">
            <v>278.66794516611651</v>
          </cell>
          <cell r="O17">
            <v>14.056899168219456</v>
          </cell>
          <cell r="P17">
            <v>295.73613145639615</v>
          </cell>
          <cell r="Q17">
            <v>0.66382044370594095</v>
          </cell>
          <cell r="R17">
            <v>0.98086311206339183</v>
          </cell>
          <cell r="S17">
            <v>0.40389702873812722</v>
          </cell>
          <cell r="T17">
            <v>1.2494263931011003</v>
          </cell>
          <cell r="U17">
            <v>0.90882695593237262</v>
          </cell>
          <cell r="V17">
            <v>1.0953877195338682</v>
          </cell>
          <cell r="W17">
            <v>21.469586184709858</v>
          </cell>
          <cell r="X17">
            <v>24.032832865348404</v>
          </cell>
          <cell r="Y17">
            <v>2.8989745976318604</v>
          </cell>
          <cell r="Z17">
            <v>19.998992950654586</v>
          </cell>
          <cell r="AA17">
            <v>26.018126888217523</v>
          </cell>
          <cell r="AB17">
            <v>0.48128632869721111</v>
          </cell>
          <cell r="AC17">
            <v>6.5288016112789542</v>
          </cell>
          <cell r="AD17">
            <v>1.7573011077542802</v>
          </cell>
          <cell r="AE17">
            <v>0.19683946190581791</v>
          </cell>
          <cell r="AF17">
            <v>0.85416985510686616</v>
          </cell>
          <cell r="AG17">
            <v>45.968572910463536</v>
          </cell>
          <cell r="AH17">
            <v>25.24920759936224</v>
          </cell>
        </row>
        <row r="18">
          <cell r="E18" t="str">
            <v>Krankenhaus</v>
          </cell>
          <cell r="F18" t="str">
            <v>Hospital</v>
          </cell>
          <cell r="G18">
            <v>4.9497241954301465</v>
          </cell>
          <cell r="H18">
            <v>20.023564156446067</v>
          </cell>
          <cell r="I18">
            <v>15.073839961015921</v>
          </cell>
          <cell r="J18">
            <v>309.53455899973119</v>
          </cell>
          <cell r="K18">
            <v>3117.643332427991</v>
          </cell>
          <cell r="L18">
            <v>1550.0045008632987</v>
          </cell>
          <cell r="M18">
            <v>16.52336815943438</v>
          </cell>
          <cell r="N18">
            <v>309.53455899973119</v>
          </cell>
          <cell r="O18">
            <v>16.346958076131521</v>
          </cell>
          <cell r="P18">
            <v>252.17935741541794</v>
          </cell>
          <cell r="Q18">
            <v>0.65050603322762224</v>
          </cell>
          <cell r="R18">
            <v>0.9881048266093746</v>
          </cell>
          <cell r="S18">
            <v>0.40465181044062803</v>
          </cell>
          <cell r="T18">
            <v>1.3026010881476693</v>
          </cell>
          <cell r="U18">
            <v>0.80516615324196994</v>
          </cell>
          <cell r="V18">
            <v>1.0905776468489248</v>
          </cell>
          <cell r="W18">
            <v>21.590999052413611</v>
          </cell>
          <cell r="X18">
            <v>23.999999999999996</v>
          </cell>
          <cell r="Y18">
            <v>1.8629470327138995</v>
          </cell>
          <cell r="Z18">
            <v>20.004487245866553</v>
          </cell>
          <cell r="AA18">
            <v>25.999999999999996</v>
          </cell>
          <cell r="AB18">
            <v>0.23478795894906074</v>
          </cell>
          <cell r="AC18">
            <v>5.8460796744502082</v>
          </cell>
          <cell r="AD18">
            <v>1.5061457698455829</v>
          </cell>
          <cell r="AE18">
            <v>0.10212379761639091</v>
          </cell>
          <cell r="AF18">
            <v>0.87538525329491734</v>
          </cell>
          <cell r="AG18">
            <v>50.36189584198415</v>
          </cell>
          <cell r="AH18">
            <v>27.180556761347475</v>
          </cell>
        </row>
        <row r="19">
          <cell r="E19" t="str">
            <v>Gebäude für teilstationäre Versorgung (z.B. Tagesklinik, Geburtshaus)</v>
          </cell>
          <cell r="F19" t="str">
            <v>Building for Partial Inpatient Care (e.g., Day Clinic, Birthing Center)</v>
          </cell>
          <cell r="G19">
            <v>7.2281716748332272</v>
          </cell>
          <cell r="H19">
            <v>18.338882657378441</v>
          </cell>
          <cell r="I19">
            <v>11.110710982545211</v>
          </cell>
          <cell r="J19">
            <v>260.92357951375539</v>
          </cell>
          <cell r="K19">
            <v>2563.6476179231363</v>
          </cell>
          <cell r="L19">
            <v>335.39886258535535</v>
          </cell>
          <cell r="M19">
            <v>13.132554066552533</v>
          </cell>
          <cell r="N19">
            <v>260.92357951375539</v>
          </cell>
          <cell r="O19">
            <v>13.029242182734126</v>
          </cell>
          <cell r="P19">
            <v>319.2927722174303</v>
          </cell>
          <cell r="Q19">
            <v>0.66882980023485106</v>
          </cell>
          <cell r="R19">
            <v>0.97775042374157162</v>
          </cell>
          <cell r="S19">
            <v>0.40185489884221576</v>
          </cell>
          <cell r="T19">
            <v>1.2346408956223109</v>
          </cell>
          <cell r="U19">
            <v>0.97101767051059751</v>
          </cell>
          <cell r="V19">
            <v>1.103539946830838</v>
          </cell>
          <cell r="W19">
            <v>21.394565835359796</v>
          </cell>
          <cell r="X19">
            <v>24.037236124566739</v>
          </cell>
          <cell r="Y19">
            <v>3.5137908620594991</v>
          </cell>
          <cell r="Z19">
            <v>19.990954773869348</v>
          </cell>
          <cell r="AA19">
            <v>26.018090452261312</v>
          </cell>
          <cell r="AB19">
            <v>0.62066760772422869</v>
          </cell>
          <cell r="AC19">
            <v>6.7240201005025133</v>
          </cell>
          <cell r="AD19">
            <v>1.85427135678392</v>
          </cell>
          <cell r="AE19">
            <v>0.25122783216114397</v>
          </cell>
          <cell r="AF19">
            <v>0.84532290258991549</v>
          </cell>
          <cell r="AG19">
            <v>43.983233957140335</v>
          </cell>
          <cell r="AH19">
            <v>23.236239840998095</v>
          </cell>
        </row>
        <row r="20">
          <cell r="E20" t="str">
            <v>Rehabilitation</v>
          </cell>
          <cell r="F20" t="str">
            <v>Rehabilitation</v>
          </cell>
          <cell r="G20">
            <v>5.6095843483556624</v>
          </cell>
          <cell r="H20">
            <v>19.230854141291104</v>
          </cell>
          <cell r="I20">
            <v>13.621269792935443</v>
          </cell>
          <cell r="J20">
            <v>292.15364753617354</v>
          </cell>
          <cell r="K20">
            <v>2910.5781440316682</v>
          </cell>
          <cell r="L20">
            <v>1068.925510048721</v>
          </cell>
          <cell r="M20">
            <v>15.210033495736905</v>
          </cell>
          <cell r="N20">
            <v>292.15364753617354</v>
          </cell>
          <cell r="O20">
            <v>15.210033495736905</v>
          </cell>
          <cell r="P20">
            <v>300.19840271839666</v>
          </cell>
          <cell r="Q20">
            <v>0.70209245007796395</v>
          </cell>
          <cell r="R20">
            <v>0.97522229487673873</v>
          </cell>
          <cell r="S20">
            <v>0.43883467744189042</v>
          </cell>
          <cell r="T20">
            <v>1.2380071145538172</v>
          </cell>
          <cell r="U20">
            <v>0.85687339671042706</v>
          </cell>
          <cell r="V20">
            <v>1.0353492167284228</v>
          </cell>
          <cell r="W20">
            <v>21.455272761821728</v>
          </cell>
          <cell r="X20">
            <v>24</v>
          </cell>
          <cell r="Y20">
            <v>2.1789089527130869</v>
          </cell>
          <cell r="Z20">
            <v>19.999999999999996</v>
          </cell>
          <cell r="AA20">
            <v>26.000000000000004</v>
          </cell>
          <cell r="AB20">
            <v>0.38335037920068854</v>
          </cell>
          <cell r="AC20">
            <v>9.1168195718654435</v>
          </cell>
          <cell r="AD20">
            <v>2.1202854230377164</v>
          </cell>
          <cell r="AE20">
            <v>0.22213419848096172</v>
          </cell>
          <cell r="AF20">
            <v>0.81632211659373255</v>
          </cell>
          <cell r="AG20">
            <v>57.156288063337385</v>
          </cell>
          <cell r="AH20">
            <v>31.29579019488428</v>
          </cell>
        </row>
        <row r="21">
          <cell r="E21" t="str">
            <v>Kur und Genesung</v>
          </cell>
          <cell r="F21" t="str">
            <v>Spa and Recovery</v>
          </cell>
          <cell r="G21">
            <v>6.1522870398217</v>
          </cell>
          <cell r="H21">
            <v>18.034159164421709</v>
          </cell>
          <cell r="I21">
            <v>11.881872124600012</v>
          </cell>
          <cell r="J21">
            <v>279.40119120529971</v>
          </cell>
          <cell r="K21">
            <v>2538.7441695139964</v>
          </cell>
          <cell r="L21">
            <v>784.2875407494281</v>
          </cell>
          <cell r="M21">
            <v>14.507478230944074</v>
          </cell>
          <cell r="N21">
            <v>279.40119120529971</v>
          </cell>
          <cell r="O21">
            <v>14.493627508144392</v>
          </cell>
          <cell r="P21">
            <v>277.61789408181744</v>
          </cell>
          <cell r="Q21">
            <v>0.6496652356422582</v>
          </cell>
          <cell r="R21">
            <v>0.97676604617592855</v>
          </cell>
          <cell r="S21">
            <v>0.48607901688065902</v>
          </cell>
          <cell r="T21">
            <v>1.1904146498163384</v>
          </cell>
          <cell r="U21">
            <v>0.88912826451671845</v>
          </cell>
          <cell r="V21">
            <v>1.0424316253031067</v>
          </cell>
          <cell r="W21">
            <v>21.368593330102726</v>
          </cell>
          <cell r="X21">
            <v>24.303468509012415</v>
          </cell>
          <cell r="Y21">
            <v>3.0754245189885716</v>
          </cell>
          <cell r="Z21">
            <v>20.07232767232767</v>
          </cell>
          <cell r="AA21">
            <v>26.160728160728166</v>
          </cell>
          <cell r="AB21">
            <v>0.52118487207819675</v>
          </cell>
          <cell r="AC21">
            <v>7.2694331594331585</v>
          </cell>
          <cell r="AD21">
            <v>1.788925888925889</v>
          </cell>
          <cell r="AE21">
            <v>0.25083402982538255</v>
          </cell>
          <cell r="AF21">
            <v>0.81948640597912081</v>
          </cell>
          <cell r="AG21">
            <v>48.934052189856253</v>
          </cell>
          <cell r="AH21">
            <v>39.861677602572463</v>
          </cell>
        </row>
        <row r="22">
          <cell r="E22" t="str">
            <v>Medizinisches Versorgungszentrum, Ärztehaus</v>
          </cell>
          <cell r="F22" t="str">
            <v>Medical Care Center, Medical Office Building</v>
          </cell>
          <cell r="G22">
            <v>7.2281716748332272</v>
          </cell>
          <cell r="H22">
            <v>18.338882657378441</v>
          </cell>
          <cell r="I22">
            <v>11.110710982545211</v>
          </cell>
          <cell r="J22">
            <v>260.92357951375539</v>
          </cell>
          <cell r="K22">
            <v>2563.6476179231363</v>
          </cell>
          <cell r="L22">
            <v>335.39886258535535</v>
          </cell>
          <cell r="M22">
            <v>13.132554066552533</v>
          </cell>
          <cell r="N22">
            <v>260.92357951375539</v>
          </cell>
          <cell r="O22">
            <v>13.029242182734126</v>
          </cell>
          <cell r="P22">
            <v>319.2927722174303</v>
          </cell>
          <cell r="Q22">
            <v>0.66882980023485106</v>
          </cell>
          <cell r="R22">
            <v>0.97775042374157162</v>
          </cell>
          <cell r="S22">
            <v>0.40185489884221576</v>
          </cell>
          <cell r="T22">
            <v>1.2346408956223109</v>
          </cell>
          <cell r="U22">
            <v>0.97101767051059751</v>
          </cell>
          <cell r="V22">
            <v>1.103539946830838</v>
          </cell>
          <cell r="W22">
            <v>21.394565835359796</v>
          </cell>
          <cell r="X22">
            <v>24.037236124566739</v>
          </cell>
          <cell r="Y22">
            <v>3.5137908620594991</v>
          </cell>
          <cell r="Z22">
            <v>19.990954773869348</v>
          </cell>
          <cell r="AA22">
            <v>26.018090452261312</v>
          </cell>
          <cell r="AB22">
            <v>0.62066760772422869</v>
          </cell>
          <cell r="AC22">
            <v>6.7240201005025133</v>
          </cell>
          <cell r="AD22">
            <v>1.85427135678392</v>
          </cell>
          <cell r="AE22">
            <v>0.25122783216114397</v>
          </cell>
          <cell r="AF22">
            <v>0.84532290258991549</v>
          </cell>
          <cell r="AG22">
            <v>43.983233957140335</v>
          </cell>
          <cell r="AH22">
            <v>23.236239840998095</v>
          </cell>
        </row>
        <row r="23">
          <cell r="E23" t="str">
            <v>Arztpraxis</v>
          </cell>
          <cell r="F23" t="str">
            <v>Medical Practice</v>
          </cell>
          <cell r="G23">
            <v>7.2281716748332272</v>
          </cell>
          <cell r="H23">
            <v>18.338882657378441</v>
          </cell>
          <cell r="I23">
            <v>11.110710982545211</v>
          </cell>
          <cell r="J23">
            <v>260.92357951375539</v>
          </cell>
          <cell r="K23">
            <v>2563.6476179231363</v>
          </cell>
          <cell r="L23">
            <v>335.39886258535535</v>
          </cell>
          <cell r="M23">
            <v>13.132554066552533</v>
          </cell>
          <cell r="N23">
            <v>260.92357951375539</v>
          </cell>
          <cell r="O23">
            <v>13.029242182734126</v>
          </cell>
          <cell r="P23">
            <v>319.2927722174303</v>
          </cell>
          <cell r="Q23">
            <v>0.66882980023485106</v>
          </cell>
          <cell r="R23">
            <v>0.97775042374157162</v>
          </cell>
          <cell r="S23">
            <v>0.40185489884221576</v>
          </cell>
          <cell r="T23">
            <v>1.2346408956223109</v>
          </cell>
          <cell r="U23">
            <v>0.97101767051059751</v>
          </cell>
          <cell r="V23">
            <v>1.103539946830838</v>
          </cell>
          <cell r="W23">
            <v>21.394565835359796</v>
          </cell>
          <cell r="X23">
            <v>24.037236124566739</v>
          </cell>
          <cell r="Y23">
            <v>3.5137908620594991</v>
          </cell>
          <cell r="Z23">
            <v>19.990954773869348</v>
          </cell>
          <cell r="AA23">
            <v>26.018090452261312</v>
          </cell>
          <cell r="AB23">
            <v>0.62066760772422869</v>
          </cell>
          <cell r="AC23">
            <v>6.7240201005025133</v>
          </cell>
          <cell r="AD23">
            <v>1.85427135678392</v>
          </cell>
          <cell r="AE23">
            <v>0.25122783216114397</v>
          </cell>
          <cell r="AF23">
            <v>0.84532290258991549</v>
          </cell>
          <cell r="AG23">
            <v>43.983233957140335</v>
          </cell>
          <cell r="AH23">
            <v>23.236239840998095</v>
          </cell>
        </row>
        <row r="24">
          <cell r="E24" t="str">
            <v>Notfallpraxis</v>
          </cell>
          <cell r="F24" t="str">
            <v>Emergency Practice</v>
          </cell>
          <cell r="G24">
            <v>7.2281716748332272</v>
          </cell>
          <cell r="H24">
            <v>18.338882657378441</v>
          </cell>
          <cell r="I24">
            <v>11.110710982545211</v>
          </cell>
          <cell r="J24">
            <v>260.92357951375539</v>
          </cell>
          <cell r="K24">
            <v>2563.6476179231363</v>
          </cell>
          <cell r="L24">
            <v>335.39886258535535</v>
          </cell>
          <cell r="M24">
            <v>13.132554066552533</v>
          </cell>
          <cell r="N24">
            <v>260.92357951375539</v>
          </cell>
          <cell r="O24">
            <v>13.029242182734126</v>
          </cell>
          <cell r="P24">
            <v>319.2927722174303</v>
          </cell>
          <cell r="Q24">
            <v>0.66882980023485106</v>
          </cell>
          <cell r="R24">
            <v>0.97775042374157162</v>
          </cell>
          <cell r="S24">
            <v>0.40185489884221576</v>
          </cell>
          <cell r="T24">
            <v>1.2346408956223109</v>
          </cell>
          <cell r="U24">
            <v>0.97101767051059751</v>
          </cell>
          <cell r="V24">
            <v>1.103539946830838</v>
          </cell>
          <cell r="W24">
            <v>21.394565835359796</v>
          </cell>
          <cell r="X24">
            <v>24.037236124566739</v>
          </cell>
          <cell r="Y24">
            <v>3.5137908620594991</v>
          </cell>
          <cell r="Z24">
            <v>19.990954773869348</v>
          </cell>
          <cell r="AA24">
            <v>26.018090452261312</v>
          </cell>
          <cell r="AB24">
            <v>0.62066760772422869</v>
          </cell>
          <cell r="AC24">
            <v>6.7240201005025133</v>
          </cell>
          <cell r="AD24">
            <v>1.85427135678392</v>
          </cell>
          <cell r="AE24">
            <v>0.25122783216114397</v>
          </cell>
          <cell r="AF24">
            <v>0.84532290258991549</v>
          </cell>
          <cell r="AG24">
            <v>43.983233957140335</v>
          </cell>
          <cell r="AH24">
            <v>23.236239840998095</v>
          </cell>
        </row>
        <row r="25">
          <cell r="E25" t="str">
            <v>Altenheim/Altenpflegeheim (ohne eigene Haushaltsführung der Bewohner/innen)</v>
          </cell>
          <cell r="F25" t="str">
            <v>Nursing Home (without residents' own household management)</v>
          </cell>
          <cell r="G25">
            <v>6.3010904102583938</v>
          </cell>
          <cell r="H25">
            <v>19.006523747273626</v>
          </cell>
          <cell r="I25">
            <v>12.705433337015231</v>
          </cell>
          <cell r="J25">
            <v>283.50266571314336</v>
          </cell>
          <cell r="K25">
            <v>2789.2063853461027</v>
          </cell>
          <cell r="L25">
            <v>816.73551145431213</v>
          </cell>
          <cell r="M25">
            <v>14.478640318875907</v>
          </cell>
          <cell r="N25">
            <v>283.50266571314336</v>
          </cell>
          <cell r="O25">
            <v>14.408421607040001</v>
          </cell>
          <cell r="P25">
            <v>287.60670175792819</v>
          </cell>
          <cell r="Q25">
            <v>0.67050208049302706</v>
          </cell>
          <cell r="R25">
            <v>0.98077964900573067</v>
          </cell>
          <cell r="S25">
            <v>0.39980441087806357</v>
          </cell>
          <cell r="T25">
            <v>1.2663935340803809</v>
          </cell>
          <cell r="U25">
            <v>0.88425661411442402</v>
          </cell>
          <cell r="V25">
            <v>1.085847110017236</v>
          </cell>
          <cell r="W25">
            <v>21.455743239002079</v>
          </cell>
          <cell r="X25">
            <v>24.02912692425144</v>
          </cell>
          <cell r="Y25">
            <v>2.7721349082410542</v>
          </cell>
          <cell r="Z25">
            <v>19.99326744572274</v>
          </cell>
          <cell r="AA25">
            <v>26.016441706676339</v>
          </cell>
          <cell r="AB25">
            <v>0.442970275307142</v>
          </cell>
          <cell r="AC25">
            <v>6.2490171392336258</v>
          </cell>
          <cell r="AD25">
            <v>1.7656979798894825</v>
          </cell>
          <cell r="AE25">
            <v>0.1911416383776971</v>
          </cell>
          <cell r="AF25">
            <v>0.85543849276324835</v>
          </cell>
          <cell r="AG25">
            <v>49.153866254670575</v>
          </cell>
          <cell r="AH25">
            <v>23.589680380616716</v>
          </cell>
        </row>
        <row r="26">
          <cell r="E26" t="str">
            <v>Pflegeheim für Behinderte (ohne eigene Haushaltsführung der Bewohner/innen)</v>
          </cell>
          <cell r="F26" t="str">
            <v>Care Home for Disabled Individuals (without residents' own household management)</v>
          </cell>
          <cell r="G26">
            <v>6.3010904102583938</v>
          </cell>
          <cell r="H26">
            <v>19.006523747273626</v>
          </cell>
          <cell r="I26">
            <v>12.705433337015231</v>
          </cell>
          <cell r="J26">
            <v>283.50266571314336</v>
          </cell>
          <cell r="K26">
            <v>2789.2063853461027</v>
          </cell>
          <cell r="L26">
            <v>816.73551145431213</v>
          </cell>
          <cell r="M26">
            <v>14.478640318875907</v>
          </cell>
          <cell r="N26">
            <v>283.50266571314336</v>
          </cell>
          <cell r="O26">
            <v>14.408421607040001</v>
          </cell>
          <cell r="P26">
            <v>287.60670175792819</v>
          </cell>
          <cell r="Q26">
            <v>0.67050208049302706</v>
          </cell>
          <cell r="R26">
            <v>0.98077964900573067</v>
          </cell>
          <cell r="S26">
            <v>0.39980441087806357</v>
          </cell>
          <cell r="T26">
            <v>1.2663935340803809</v>
          </cell>
          <cell r="U26">
            <v>0.88425661411442402</v>
          </cell>
          <cell r="V26">
            <v>1.085847110017236</v>
          </cell>
          <cell r="W26">
            <v>21.455743239002079</v>
          </cell>
          <cell r="X26">
            <v>24.02912692425144</v>
          </cell>
          <cell r="Y26">
            <v>2.7721349082410542</v>
          </cell>
          <cell r="Z26">
            <v>19.99326744572274</v>
          </cell>
          <cell r="AA26">
            <v>26.016441706676339</v>
          </cell>
          <cell r="AB26">
            <v>0.442970275307142</v>
          </cell>
          <cell r="AC26">
            <v>6.2490171392336258</v>
          </cell>
          <cell r="AD26">
            <v>1.7656979798894825</v>
          </cell>
          <cell r="AE26">
            <v>0.1911416383776971</v>
          </cell>
          <cell r="AF26">
            <v>0.85543849276324835</v>
          </cell>
          <cell r="AG26">
            <v>49.153866254670575</v>
          </cell>
          <cell r="AH26">
            <v>23.589680380616716</v>
          </cell>
        </row>
        <row r="27">
          <cell r="E27" t="str">
            <v>Psychiatrische Pflegeheim (ohne eigene Haushaltsführung der Bewohner/innen)</v>
          </cell>
          <cell r="F27" t="str">
            <v>Psychiatric Care Home (without residents' own household management)</v>
          </cell>
          <cell r="G27">
            <v>6.3010904102583938</v>
          </cell>
          <cell r="H27">
            <v>19.006523747273626</v>
          </cell>
          <cell r="I27">
            <v>12.705433337015231</v>
          </cell>
          <cell r="J27">
            <v>283.50266571314336</v>
          </cell>
          <cell r="K27">
            <v>2789.2063853461027</v>
          </cell>
          <cell r="L27">
            <v>816.73551145431213</v>
          </cell>
          <cell r="M27">
            <v>14.478640318875907</v>
          </cell>
          <cell r="N27">
            <v>283.50266571314336</v>
          </cell>
          <cell r="O27">
            <v>14.408421607040001</v>
          </cell>
          <cell r="P27">
            <v>287.60670175792819</v>
          </cell>
          <cell r="Q27">
            <v>0.67050208049302706</v>
          </cell>
          <cell r="R27">
            <v>0.98077964900573067</v>
          </cell>
          <cell r="S27">
            <v>0.39980441087806357</v>
          </cell>
          <cell r="T27">
            <v>1.2663935340803809</v>
          </cell>
          <cell r="U27">
            <v>0.88425661411442402</v>
          </cell>
          <cell r="V27">
            <v>1.085847110017236</v>
          </cell>
          <cell r="W27">
            <v>21.455743239002079</v>
          </cell>
          <cell r="X27">
            <v>24.02912692425144</v>
          </cell>
          <cell r="Y27">
            <v>2.7721349082410542</v>
          </cell>
          <cell r="Z27">
            <v>19.99326744572274</v>
          </cell>
          <cell r="AA27">
            <v>26.016441706676339</v>
          </cell>
          <cell r="AB27">
            <v>0.442970275307142</v>
          </cell>
          <cell r="AC27">
            <v>6.2490171392336258</v>
          </cell>
          <cell r="AD27">
            <v>1.7656979798894825</v>
          </cell>
          <cell r="AE27">
            <v>0.1911416383776971</v>
          </cell>
          <cell r="AF27">
            <v>0.85543849276324835</v>
          </cell>
          <cell r="AG27">
            <v>49.153866254670575</v>
          </cell>
          <cell r="AH27">
            <v>23.589680380616716</v>
          </cell>
        </row>
        <row r="28">
          <cell r="E28" t="str">
            <v>Tagespflegeeinrichtung</v>
          </cell>
          <cell r="F28" t="str">
            <v>Day Care Facility</v>
          </cell>
          <cell r="G28">
            <v>6.3010904102583938</v>
          </cell>
          <cell r="H28">
            <v>19.006523747273626</v>
          </cell>
          <cell r="I28">
            <v>12.705433337015231</v>
          </cell>
          <cell r="J28">
            <v>283.50266571314336</v>
          </cell>
          <cell r="K28">
            <v>2789.2063853461027</v>
          </cell>
          <cell r="L28">
            <v>816.73551145431213</v>
          </cell>
          <cell r="M28">
            <v>14.478640318875907</v>
          </cell>
          <cell r="N28">
            <v>283.50266571314336</v>
          </cell>
          <cell r="O28">
            <v>14.408421607040001</v>
          </cell>
          <cell r="P28">
            <v>287.60670175792819</v>
          </cell>
          <cell r="Q28">
            <v>0.67050208049302706</v>
          </cell>
          <cell r="R28">
            <v>0.98077964900573067</v>
          </cell>
          <cell r="S28">
            <v>0.39980441087806357</v>
          </cell>
          <cell r="T28">
            <v>1.2663935340803809</v>
          </cell>
          <cell r="U28">
            <v>0.88425661411442402</v>
          </cell>
          <cell r="V28">
            <v>1.085847110017236</v>
          </cell>
          <cell r="W28">
            <v>21.455743239002079</v>
          </cell>
          <cell r="X28">
            <v>24.02912692425144</v>
          </cell>
          <cell r="Y28">
            <v>2.7721349082410542</v>
          </cell>
          <cell r="Z28">
            <v>19.99326744572274</v>
          </cell>
          <cell r="AA28">
            <v>26.016441706676339</v>
          </cell>
          <cell r="AB28">
            <v>0.442970275307142</v>
          </cell>
          <cell r="AC28">
            <v>6.2490171392336258</v>
          </cell>
          <cell r="AD28">
            <v>1.7656979798894825</v>
          </cell>
          <cell r="AE28">
            <v>0.1911416383776971</v>
          </cell>
          <cell r="AF28">
            <v>0.85543849276324835</v>
          </cell>
          <cell r="AG28">
            <v>49.153866254670575</v>
          </cell>
          <cell r="AH28">
            <v>23.589680380616716</v>
          </cell>
        </row>
        <row r="29">
          <cell r="E29" t="str">
            <v>Hospiz</v>
          </cell>
          <cell r="F29" t="str">
            <v>Hospice</v>
          </cell>
          <cell r="G29">
            <v>6.3010904102583938</v>
          </cell>
          <cell r="H29">
            <v>19.006523747273626</v>
          </cell>
          <cell r="I29">
            <v>12.705433337015231</v>
          </cell>
          <cell r="J29">
            <v>283.50266571314336</v>
          </cell>
          <cell r="K29">
            <v>2789.2063853461027</v>
          </cell>
          <cell r="L29">
            <v>816.73551145431213</v>
          </cell>
          <cell r="M29">
            <v>14.478640318875907</v>
          </cell>
          <cell r="N29">
            <v>283.50266571314336</v>
          </cell>
          <cell r="O29">
            <v>14.408421607040001</v>
          </cell>
          <cell r="P29">
            <v>287.60670175792819</v>
          </cell>
          <cell r="Q29">
            <v>0.67050208049302706</v>
          </cell>
          <cell r="R29">
            <v>0.98077964900573067</v>
          </cell>
          <cell r="S29">
            <v>0.39980441087806357</v>
          </cell>
          <cell r="T29">
            <v>1.2663935340803809</v>
          </cell>
          <cell r="U29">
            <v>0.88425661411442402</v>
          </cell>
          <cell r="V29">
            <v>1.085847110017236</v>
          </cell>
          <cell r="W29">
            <v>21.455743239002079</v>
          </cell>
          <cell r="X29">
            <v>24.02912692425144</v>
          </cell>
          <cell r="Y29">
            <v>2.7721349082410542</v>
          </cell>
          <cell r="Z29">
            <v>19.99326744572274</v>
          </cell>
          <cell r="AA29">
            <v>26.016441706676339</v>
          </cell>
          <cell r="AB29">
            <v>0.442970275307142</v>
          </cell>
          <cell r="AC29">
            <v>6.2490171392336258</v>
          </cell>
          <cell r="AD29">
            <v>1.7656979798894825</v>
          </cell>
          <cell r="AE29">
            <v>0.1911416383776971</v>
          </cell>
          <cell r="AF29">
            <v>0.85543849276324835</v>
          </cell>
          <cell r="AG29">
            <v>49.153866254670575</v>
          </cell>
          <cell r="AH29">
            <v>23.589680380616716</v>
          </cell>
        </row>
        <row r="30">
          <cell r="E30" t="str">
            <v/>
          </cell>
          <cell r="G30">
            <v>7.472502241367998</v>
          </cell>
          <cell r="H30">
            <v>17.044674290962362</v>
          </cell>
          <cell r="I30">
            <v>9.5721720495943643</v>
          </cell>
          <cell r="J30">
            <v>238.93589875384072</v>
          </cell>
          <cell r="K30">
            <v>2096.4675384312604</v>
          </cell>
          <cell r="L30">
            <v>190.66799326496249</v>
          </cell>
          <cell r="M30">
            <v>11.581334324637549</v>
          </cell>
          <cell r="N30">
            <v>238.93589875384072</v>
          </cell>
          <cell r="O30">
            <v>11.581334324637549</v>
          </cell>
          <cell r="P30">
            <v>228.88942192372272</v>
          </cell>
          <cell r="Q30">
            <v>0.66428171652446066</v>
          </cell>
          <cell r="R30">
            <v>0.97570686130052897</v>
          </cell>
          <cell r="S30">
            <v>0.56907012073238994</v>
          </cell>
          <cell r="T30">
            <v>1.3971598761836226</v>
          </cell>
          <cell r="U30">
            <v>0.95247941152954352</v>
          </cell>
          <cell r="V30">
            <v>1.0727683925573108</v>
          </cell>
          <cell r="W30">
            <v>20.955535757118877</v>
          </cell>
          <cell r="X30">
            <v>24.007566048726996</v>
          </cell>
          <cell r="Y30">
            <v>3.9606437537835957</v>
          </cell>
          <cell r="Z30">
            <v>19.989959839357425</v>
          </cell>
          <cell r="AA30">
            <v>26.008032128514056</v>
          </cell>
          <cell r="AB30">
            <v>0.49460987561251418</v>
          </cell>
          <cell r="AC30">
            <v>7.7377008032128485</v>
          </cell>
          <cell r="AD30">
            <v>1.8388554216867468</v>
          </cell>
          <cell r="AE30">
            <v>0.22841037590377961</v>
          </cell>
          <cell r="AF30">
            <v>0.92148556808187432</v>
          </cell>
          <cell r="AG30">
            <v>56.346810697338782</v>
          </cell>
          <cell r="AH30">
            <v>31.575648903369697</v>
          </cell>
        </row>
        <row r="31">
          <cell r="E31" t="str">
            <v>Schule, allgemein</v>
          </cell>
          <cell r="F31" t="str">
            <v>School, General</v>
          </cell>
          <cell r="G31">
            <v>7.4544487151047969</v>
          </cell>
          <cell r="H31">
            <v>16.986750643187381</v>
          </cell>
          <cell r="I31">
            <v>9.5323019280825854</v>
          </cell>
          <cell r="J31">
            <v>238.39345122805952</v>
          </cell>
          <cell r="K31">
            <v>2084.1354231266369</v>
          </cell>
          <cell r="L31">
            <v>188.31562208706768</v>
          </cell>
          <cell r="M31">
            <v>11.528684534495973</v>
          </cell>
          <cell r="N31">
            <v>238.39345122805952</v>
          </cell>
          <cell r="O31">
            <v>11.519608616876132</v>
          </cell>
          <cell r="P31">
            <v>226.15893663066041</v>
          </cell>
          <cell r="Q31">
            <v>0.64765711128595282</v>
          </cell>
          <cell r="R31">
            <v>0.9772228514599911</v>
          </cell>
          <cell r="S31">
            <v>0.56014786647671533</v>
          </cell>
          <cell r="T31">
            <v>1.4095700973634475</v>
          </cell>
          <cell r="U31">
            <v>0.95237700082421228</v>
          </cell>
          <cell r="V31">
            <v>1.0806724984347122</v>
          </cell>
          <cell r="W31">
            <v>20.940436638659335</v>
          </cell>
          <cell r="X31">
            <v>24.002871062702788</v>
          </cell>
          <cell r="Y31">
            <v>3.9522266069617698</v>
          </cell>
          <cell r="Z31">
            <v>19.996228956228954</v>
          </cell>
          <cell r="AA31">
            <v>26.003016835016833</v>
          </cell>
          <cell r="AB31">
            <v>0.47995412229991069</v>
          </cell>
          <cell r="AC31">
            <v>7.3468538720538712</v>
          </cell>
          <cell r="AD31">
            <v>1.7793425925925923</v>
          </cell>
          <cell r="AE31">
            <v>0.21582012464877876</v>
          </cell>
          <cell r="AF31">
            <v>0.92777192671190001</v>
          </cell>
          <cell r="AG31">
            <v>56.762840329894267</v>
          </cell>
          <cell r="AH31">
            <v>29.041432081421693</v>
          </cell>
        </row>
        <row r="32">
          <cell r="E32" t="str">
            <v>Ganztagesschule</v>
          </cell>
          <cell r="F32" t="str">
            <v>All-Day School</v>
          </cell>
          <cell r="G32">
            <v>7.3799608396319787</v>
          </cell>
          <cell r="H32">
            <v>18.087584479019728</v>
          </cell>
          <cell r="I32">
            <v>10.707623639387752</v>
          </cell>
          <cell r="J32">
            <v>245.80616618821031</v>
          </cell>
          <cell r="K32">
            <v>2273.1606417247403</v>
          </cell>
          <cell r="L32">
            <v>358.83927405941432</v>
          </cell>
          <cell r="M32">
            <v>12.692254247636692</v>
          </cell>
          <cell r="N32">
            <v>245.80616618821031</v>
          </cell>
          <cell r="O32">
            <v>12.692254247636692</v>
          </cell>
          <cell r="P32">
            <v>210.33465728105705</v>
          </cell>
          <cell r="Q32">
            <v>0.83275000983129499</v>
          </cell>
          <cell r="R32">
            <v>0.98676530732628098</v>
          </cell>
          <cell r="S32">
            <v>0.60649455346258219</v>
          </cell>
          <cell r="T32">
            <v>1.6349394392229344</v>
          </cell>
          <cell r="U32">
            <v>0.96997325887765939</v>
          </cell>
          <cell r="V32">
            <v>1.0205474065043845</v>
          </cell>
          <cell r="W32">
            <v>20.575524008022331</v>
          </cell>
          <cell r="X32">
            <v>24</v>
          </cell>
          <cell r="Y32">
            <v>3.9999999999999996</v>
          </cell>
          <cell r="Z32">
            <v>19.992000000000001</v>
          </cell>
          <cell r="AA32">
            <v>26</v>
          </cell>
          <cell r="AB32">
            <v>0.26115851980022808</v>
          </cell>
          <cell r="AC32">
            <v>5.4001000000000001</v>
          </cell>
          <cell r="AD32">
            <v>1.3487500000000001</v>
          </cell>
          <cell r="AE32">
            <v>0.22707342011089698</v>
          </cell>
          <cell r="AF32">
            <v>0.94590034999410133</v>
          </cell>
          <cell r="AG32">
            <v>44.479819778091255</v>
          </cell>
          <cell r="AH32">
            <v>33.809672189822521</v>
          </cell>
        </row>
        <row r="33">
          <cell r="E33" t="str">
            <v>Internatsschule</v>
          </cell>
          <cell r="F33" t="str">
            <v>Boarding School</v>
          </cell>
          <cell r="G33">
            <v>7.4544487151047969</v>
          </cell>
          <cell r="H33">
            <v>16.986750643187381</v>
          </cell>
          <cell r="I33">
            <v>9.5323019280825854</v>
          </cell>
          <cell r="J33">
            <v>238.39345122805952</v>
          </cell>
          <cell r="K33">
            <v>2084.1354231266369</v>
          </cell>
          <cell r="L33">
            <v>188.31562208706768</v>
          </cell>
          <cell r="M33">
            <v>11.528684534495973</v>
          </cell>
          <cell r="N33">
            <v>238.39345122805952</v>
          </cell>
          <cell r="O33">
            <v>11.519608616876132</v>
          </cell>
          <cell r="P33">
            <v>226.15893663066041</v>
          </cell>
          <cell r="Q33">
            <v>0.64765711128595282</v>
          </cell>
          <cell r="R33">
            <v>0.9772228514599911</v>
          </cell>
          <cell r="S33">
            <v>0.56014786647671533</v>
          </cell>
          <cell r="T33">
            <v>1.4095700973634475</v>
          </cell>
          <cell r="U33">
            <v>0.95237700082421228</v>
          </cell>
          <cell r="V33">
            <v>1.0806724984347122</v>
          </cell>
          <cell r="W33">
            <v>20.940436638659335</v>
          </cell>
          <cell r="X33">
            <v>24.002871062702788</v>
          </cell>
          <cell r="Y33">
            <v>3.9522266069617698</v>
          </cell>
          <cell r="Z33">
            <v>19.996228956228954</v>
          </cell>
          <cell r="AA33">
            <v>26.003016835016833</v>
          </cell>
          <cell r="AB33">
            <v>0.47995412229991069</v>
          </cell>
          <cell r="AC33">
            <v>7.3468538720538712</v>
          </cell>
          <cell r="AD33">
            <v>1.7793425925925923</v>
          </cell>
          <cell r="AE33">
            <v>0.21582012464877876</v>
          </cell>
          <cell r="AF33">
            <v>0.92777192671190001</v>
          </cell>
          <cell r="AG33">
            <v>56.762840329894267</v>
          </cell>
          <cell r="AH33">
            <v>29.041432081421693</v>
          </cell>
        </row>
        <row r="34">
          <cell r="E34" t="str">
            <v>Förder-, Sonderschule</v>
          </cell>
          <cell r="F34" t="str">
            <v>Special Education School (for support, special needs)</v>
          </cell>
          <cell r="G34">
            <v>7.4544487151047969</v>
          </cell>
          <cell r="H34">
            <v>16.986750643187381</v>
          </cell>
          <cell r="I34">
            <v>9.5323019280825854</v>
          </cell>
          <cell r="J34">
            <v>238.39345122805952</v>
          </cell>
          <cell r="K34">
            <v>2084.1354231266369</v>
          </cell>
          <cell r="L34">
            <v>188.31562208706768</v>
          </cell>
          <cell r="M34">
            <v>11.528684534495973</v>
          </cell>
          <cell r="N34">
            <v>238.39345122805952</v>
          </cell>
          <cell r="O34">
            <v>11.519608616876132</v>
          </cell>
          <cell r="P34">
            <v>226.15893663066041</v>
          </cell>
          <cell r="Q34">
            <v>0.64765711128595282</v>
          </cell>
          <cell r="R34">
            <v>0.9772228514599911</v>
          </cell>
          <cell r="S34">
            <v>0.56014786647671533</v>
          </cell>
          <cell r="T34">
            <v>1.4095700973634475</v>
          </cell>
          <cell r="U34">
            <v>0.95237700082421228</v>
          </cell>
          <cell r="V34">
            <v>1.0806724984347122</v>
          </cell>
          <cell r="W34">
            <v>20.940436638659335</v>
          </cell>
          <cell r="X34">
            <v>24.002871062702788</v>
          </cell>
          <cell r="Y34">
            <v>3.9522266069617698</v>
          </cell>
          <cell r="Z34">
            <v>19.996228956228954</v>
          </cell>
          <cell r="AA34">
            <v>26.003016835016833</v>
          </cell>
          <cell r="AB34">
            <v>0.47995412229991069</v>
          </cell>
          <cell r="AC34">
            <v>7.3468538720538712</v>
          </cell>
          <cell r="AD34">
            <v>1.7793425925925923</v>
          </cell>
          <cell r="AE34">
            <v>0.21582012464877876</v>
          </cell>
          <cell r="AF34">
            <v>0.92777192671190001</v>
          </cell>
          <cell r="AG34">
            <v>56.762840329894267</v>
          </cell>
          <cell r="AH34">
            <v>29.041432081421693</v>
          </cell>
        </row>
        <row r="35">
          <cell r="E35" t="str">
            <v>Berufsbildende Schule (gewerblich, wirtschaftlich)</v>
          </cell>
          <cell r="F35" t="str">
            <v>Vocational School (commercial, economic)</v>
          </cell>
          <cell r="G35">
            <v>7.3481976315447008</v>
          </cell>
          <cell r="H35">
            <v>17.426799115082638</v>
          </cell>
          <cell r="I35">
            <v>10.078601483537936</v>
          </cell>
          <cell r="J35">
            <v>244.32052749825689</v>
          </cell>
          <cell r="K35">
            <v>2184.2909816509787</v>
          </cell>
          <cell r="L35">
            <v>278.11824925172425</v>
          </cell>
          <cell r="M35">
            <v>11.999999999999998</v>
          </cell>
          <cell r="N35">
            <v>244.32052749825689</v>
          </cell>
          <cell r="O35">
            <v>11.999999999999998</v>
          </cell>
          <cell r="P35">
            <v>265.48751409560043</v>
          </cell>
          <cell r="Q35">
            <v>0.67034199585094389</v>
          </cell>
          <cell r="R35">
            <v>0.96534896833116679</v>
          </cell>
          <cell r="S35">
            <v>0.51839142298852559</v>
          </cell>
          <cell r="T35">
            <v>1.4230918215389381</v>
          </cell>
          <cell r="U35">
            <v>0.90802523865680762</v>
          </cell>
          <cell r="V35">
            <v>1.0437932014013824</v>
          </cell>
          <cell r="W35">
            <v>20.905329212970532</v>
          </cell>
          <cell r="X35">
            <v>24.08552909073693</v>
          </cell>
          <cell r="Y35">
            <v>3.7737817527610162</v>
          </cell>
          <cell r="Z35">
            <v>19.871871871871868</v>
          </cell>
          <cell r="AA35">
            <v>26.096096096096094</v>
          </cell>
          <cell r="AB35">
            <v>0.49196873574299949</v>
          </cell>
          <cell r="AC35">
            <v>8.4471471471471471</v>
          </cell>
          <cell r="AD35">
            <v>1.8268268268268264</v>
          </cell>
          <cell r="AE35">
            <v>0.22195728710263316</v>
          </cell>
          <cell r="AF35">
            <v>0.8826406762445016</v>
          </cell>
          <cell r="AG35">
            <v>65.508653971283564</v>
          </cell>
          <cell r="AH35">
            <v>37.656270333579144</v>
          </cell>
        </row>
        <row r="36">
          <cell r="E36" t="str">
            <v>Berufsbildende Schule (mit höherer technischer Ausstattung, z.B. Werkstätten)</v>
          </cell>
          <cell r="F36" t="str">
            <v>Vocational School (with advanced technical equipment, e.g., workshops)</v>
          </cell>
          <cell r="G36">
            <v>7.3481976315447008</v>
          </cell>
          <cell r="H36">
            <v>17.426799115082638</v>
          </cell>
          <cell r="I36">
            <v>10.078601483537936</v>
          </cell>
          <cell r="J36">
            <v>244.32052749825689</v>
          </cell>
          <cell r="K36">
            <v>2184.2909816509787</v>
          </cell>
          <cell r="L36">
            <v>278.11824925172425</v>
          </cell>
          <cell r="M36">
            <v>11.999999999999998</v>
          </cell>
          <cell r="N36">
            <v>244.32052749825689</v>
          </cell>
          <cell r="O36">
            <v>11.999999999999998</v>
          </cell>
          <cell r="P36">
            <v>265.48751409560043</v>
          </cell>
          <cell r="Q36">
            <v>0.67034199585094389</v>
          </cell>
          <cell r="R36">
            <v>0.96534896833116679</v>
          </cell>
          <cell r="S36">
            <v>0.51839142298852559</v>
          </cell>
          <cell r="T36">
            <v>1.4230918215389381</v>
          </cell>
          <cell r="U36">
            <v>0.90802523865680762</v>
          </cell>
          <cell r="V36">
            <v>1.0437932014013824</v>
          </cell>
          <cell r="W36">
            <v>20.905329212970532</v>
          </cell>
          <cell r="X36">
            <v>24.08552909073693</v>
          </cell>
          <cell r="Y36">
            <v>3.7737817527610162</v>
          </cell>
          <cell r="Z36">
            <v>19.871871871871868</v>
          </cell>
          <cell r="AA36">
            <v>26.096096096096094</v>
          </cell>
          <cell r="AB36">
            <v>0.49196873574299949</v>
          </cell>
          <cell r="AC36">
            <v>8.4471471471471471</v>
          </cell>
          <cell r="AD36">
            <v>1.8268268268268264</v>
          </cell>
          <cell r="AE36">
            <v>0.22195728710263316</v>
          </cell>
          <cell r="AF36">
            <v>0.8826406762445016</v>
          </cell>
          <cell r="AG36">
            <v>65.508653971283564</v>
          </cell>
          <cell r="AH36">
            <v>37.656270333579144</v>
          </cell>
        </row>
        <row r="37">
          <cell r="E37" t="str">
            <v>Berufsakademie, Berufskolleg</v>
          </cell>
          <cell r="F37" t="str">
            <v>Vocational Academy, Vocational College</v>
          </cell>
          <cell r="G37">
            <v>7.3481976315447008</v>
          </cell>
          <cell r="H37">
            <v>17.426799115082638</v>
          </cell>
          <cell r="I37">
            <v>10.078601483537936</v>
          </cell>
          <cell r="J37">
            <v>244.32052749825689</v>
          </cell>
          <cell r="K37">
            <v>2184.2909816509787</v>
          </cell>
          <cell r="L37">
            <v>278.11824925172425</v>
          </cell>
          <cell r="M37">
            <v>11.999999999999998</v>
          </cell>
          <cell r="N37">
            <v>244.32052749825689</v>
          </cell>
          <cell r="O37">
            <v>11.999999999999998</v>
          </cell>
          <cell r="P37">
            <v>265.48751409560043</v>
          </cell>
          <cell r="Q37">
            <v>0.67034199585094389</v>
          </cell>
          <cell r="R37">
            <v>0.96534896833116679</v>
          </cell>
          <cell r="S37">
            <v>0.51839142298852559</v>
          </cell>
          <cell r="T37">
            <v>1.4230918215389381</v>
          </cell>
          <cell r="U37">
            <v>0.90802523865680762</v>
          </cell>
          <cell r="V37">
            <v>1.0437932014013824</v>
          </cell>
          <cell r="W37">
            <v>20.905329212970532</v>
          </cell>
          <cell r="X37">
            <v>24.08552909073693</v>
          </cell>
          <cell r="Y37">
            <v>3.7737817527610162</v>
          </cell>
          <cell r="Z37">
            <v>19.871871871871868</v>
          </cell>
          <cell r="AA37">
            <v>26.096096096096094</v>
          </cell>
          <cell r="AB37">
            <v>0.49196873574299949</v>
          </cell>
          <cell r="AC37">
            <v>8.4471471471471471</v>
          </cell>
          <cell r="AD37">
            <v>1.8268268268268264</v>
          </cell>
          <cell r="AE37">
            <v>0.22195728710263316</v>
          </cell>
          <cell r="AF37">
            <v>0.8826406762445016</v>
          </cell>
          <cell r="AG37">
            <v>65.508653971283564</v>
          </cell>
          <cell r="AH37">
            <v>37.656270333579144</v>
          </cell>
        </row>
        <row r="38">
          <cell r="E38" t="str">
            <v>Bildungszentrum</v>
          </cell>
          <cell r="F38" t="str">
            <v>Education Center</v>
          </cell>
          <cell r="G38">
            <v>7.3481976315447008</v>
          </cell>
          <cell r="H38">
            <v>17.426799115082638</v>
          </cell>
          <cell r="I38">
            <v>10.078601483537936</v>
          </cell>
          <cell r="J38">
            <v>244.32052749825689</v>
          </cell>
          <cell r="K38">
            <v>2184.2909816509787</v>
          </cell>
          <cell r="L38">
            <v>278.11824925172425</v>
          </cell>
          <cell r="M38">
            <v>11.999999999999998</v>
          </cell>
          <cell r="N38">
            <v>244.32052749825689</v>
          </cell>
          <cell r="O38">
            <v>11.999999999999998</v>
          </cell>
          <cell r="P38">
            <v>265.48751409560043</v>
          </cell>
          <cell r="Q38">
            <v>0.67034199585094389</v>
          </cell>
          <cell r="R38">
            <v>0.96534896833116679</v>
          </cell>
          <cell r="S38">
            <v>0.51839142298852559</v>
          </cell>
          <cell r="T38">
            <v>1.4230918215389381</v>
          </cell>
          <cell r="U38">
            <v>0.90802523865680762</v>
          </cell>
          <cell r="V38">
            <v>1.0437932014013824</v>
          </cell>
          <cell r="W38">
            <v>20.905329212970532</v>
          </cell>
          <cell r="X38">
            <v>24.08552909073693</v>
          </cell>
          <cell r="Y38">
            <v>3.7737817527610162</v>
          </cell>
          <cell r="Z38">
            <v>19.871871871871868</v>
          </cell>
          <cell r="AA38">
            <v>26.096096096096094</v>
          </cell>
          <cell r="AB38">
            <v>0.49196873574299949</v>
          </cell>
          <cell r="AC38">
            <v>8.4471471471471471</v>
          </cell>
          <cell r="AD38">
            <v>1.8268268268268264</v>
          </cell>
          <cell r="AE38">
            <v>0.22195728710263316</v>
          </cell>
          <cell r="AF38">
            <v>0.8826406762445016</v>
          </cell>
          <cell r="AG38">
            <v>65.508653971283564</v>
          </cell>
          <cell r="AH38">
            <v>37.656270333579144</v>
          </cell>
        </row>
        <row r="39">
          <cell r="E39" t="str">
            <v>Ausbildungsstätte</v>
          </cell>
          <cell r="F39" t="str">
            <v>Training Facility</v>
          </cell>
          <cell r="G39">
            <v>7.3481976315447008</v>
          </cell>
          <cell r="H39">
            <v>17.426799115082638</v>
          </cell>
          <cell r="I39">
            <v>10.078601483537936</v>
          </cell>
          <cell r="J39">
            <v>244.32052749825689</v>
          </cell>
          <cell r="K39">
            <v>2184.2909816509787</v>
          </cell>
          <cell r="L39">
            <v>278.11824925172425</v>
          </cell>
          <cell r="M39">
            <v>11.999999999999998</v>
          </cell>
          <cell r="N39">
            <v>244.32052749825689</v>
          </cell>
          <cell r="O39">
            <v>11.999999999999998</v>
          </cell>
          <cell r="P39">
            <v>265.48751409560043</v>
          </cell>
          <cell r="Q39">
            <v>0.67034199585094389</v>
          </cell>
          <cell r="R39">
            <v>0.96534896833116679</v>
          </cell>
          <cell r="S39">
            <v>0.51839142298852559</v>
          </cell>
          <cell r="T39">
            <v>1.4230918215389381</v>
          </cell>
          <cell r="U39">
            <v>0.90802523865680762</v>
          </cell>
          <cell r="V39">
            <v>1.0437932014013824</v>
          </cell>
          <cell r="W39">
            <v>20.905329212970532</v>
          </cell>
          <cell r="X39">
            <v>24.08552909073693</v>
          </cell>
          <cell r="Y39">
            <v>3.7737817527610162</v>
          </cell>
          <cell r="Z39">
            <v>19.871871871871868</v>
          </cell>
          <cell r="AA39">
            <v>26.096096096096094</v>
          </cell>
          <cell r="AB39">
            <v>0.49196873574299949</v>
          </cell>
          <cell r="AC39">
            <v>8.4471471471471471</v>
          </cell>
          <cell r="AD39">
            <v>1.8268268268268264</v>
          </cell>
          <cell r="AE39">
            <v>0.22195728710263316</v>
          </cell>
          <cell r="AF39">
            <v>0.8826406762445016</v>
          </cell>
          <cell r="AG39">
            <v>65.508653971283564</v>
          </cell>
          <cell r="AH39">
            <v>37.656270333579144</v>
          </cell>
        </row>
        <row r="40">
          <cell r="E40" t="str">
            <v>Volkshochschule</v>
          </cell>
          <cell r="F40" t="str">
            <v>Adult Education Center</v>
          </cell>
          <cell r="G40">
            <v>6.4772337120902481</v>
          </cell>
          <cell r="H40">
            <v>16.846153846153847</v>
          </cell>
          <cell r="I40">
            <v>10.368920134063599</v>
          </cell>
          <cell r="J40">
            <v>255.07838430185345</v>
          </cell>
          <cell r="K40">
            <v>2187.0950707103734</v>
          </cell>
          <cell r="L40">
            <v>457.79232404152697</v>
          </cell>
          <cell r="M40">
            <v>13.255088694514839</v>
          </cell>
          <cell r="N40">
            <v>255.07838430185345</v>
          </cell>
          <cell r="O40">
            <v>13.255088694514839</v>
          </cell>
          <cell r="P40">
            <v>269.13073642219115</v>
          </cell>
          <cell r="Q40">
            <v>0.70829214067784585</v>
          </cell>
          <cell r="R40">
            <v>0.96462161885165121</v>
          </cell>
          <cell r="S40">
            <v>0.57482714852218886</v>
          </cell>
          <cell r="T40">
            <v>1.3209883478000359</v>
          </cell>
          <cell r="U40">
            <v>0.8897822504986479</v>
          </cell>
          <cell r="V40">
            <v>1.079038654084183</v>
          </cell>
          <cell r="W40">
            <v>21.002168034499334</v>
          </cell>
          <cell r="X40">
            <v>24</v>
          </cell>
          <cell r="Y40">
            <v>3.6494721821464329</v>
          </cell>
          <cell r="Z40">
            <v>19.999999999999993</v>
          </cell>
          <cell r="AA40">
            <v>25.999999999999996</v>
          </cell>
          <cell r="AB40">
            <v>0.60433370387013863</v>
          </cell>
          <cell r="AC40">
            <v>7.7433433433433398</v>
          </cell>
          <cell r="AD40">
            <v>1.8333333333333328</v>
          </cell>
          <cell r="AE40">
            <v>0.28718376260416417</v>
          </cell>
          <cell r="AF40">
            <v>0.8139175989215014</v>
          </cell>
          <cell r="AG40">
            <v>59.877789585547291</v>
          </cell>
          <cell r="AH40">
            <v>21.538216300171666</v>
          </cell>
        </row>
        <row r="41">
          <cell r="E41" t="str">
            <v>KiTa</v>
          </cell>
          <cell r="F41" t="str">
            <v>Day Care Center (for children)</v>
          </cell>
          <cell r="G41">
            <v>7.5109938260097859</v>
          </cell>
          <cell r="H41">
            <v>17.059668304646209</v>
          </cell>
          <cell r="I41">
            <v>9.548674478636423</v>
          </cell>
          <cell r="J41">
            <v>239.03942683357445</v>
          </cell>
          <cell r="K41">
            <v>2099.0096334306545</v>
          </cell>
          <cell r="L41">
            <v>183.55596632465478</v>
          </cell>
          <cell r="M41">
            <v>11.543717005935658</v>
          </cell>
          <cell r="N41">
            <v>239.03942683357445</v>
          </cell>
          <cell r="O41">
            <v>11.543717005935658</v>
          </cell>
          <cell r="P41">
            <v>229.22923389825812</v>
          </cell>
          <cell r="Q41">
            <v>0.6735954267321822</v>
          </cell>
          <cell r="R41">
            <v>0.97537561737559819</v>
          </cell>
          <cell r="S41">
            <v>0.57890412123688006</v>
          </cell>
          <cell r="T41">
            <v>1.3761022782305383</v>
          </cell>
          <cell r="U41">
            <v>0.95672293045778722</v>
          </cell>
          <cell r="V41">
            <v>1.0654460572260602</v>
          </cell>
          <cell r="W41">
            <v>20.992158763408934</v>
          </cell>
          <cell r="X41">
            <v>23.999999999999996</v>
          </cell>
          <cell r="Y41">
            <v>3.9751819576186112</v>
          </cell>
          <cell r="Z41">
            <v>19.999999999999993</v>
          </cell>
          <cell r="AA41">
            <v>25.999999999999996</v>
          </cell>
          <cell r="AB41">
            <v>0.5093728318362194</v>
          </cell>
          <cell r="AC41">
            <v>8.0333214091834755</v>
          </cell>
          <cell r="AD41">
            <v>1.9226161898575689</v>
          </cell>
          <cell r="AE41">
            <v>0.23767939216045872</v>
          </cell>
          <cell r="AF41">
            <v>0.92496124191251239</v>
          </cell>
          <cell r="AG41">
            <v>54.704535789522808</v>
          </cell>
          <cell r="AH41">
            <v>36.792352409174924</v>
          </cell>
        </row>
        <row r="42">
          <cell r="E42" t="str">
            <v>KiTa mit Küche</v>
          </cell>
          <cell r="F42" t="str">
            <v>Day Care Center with Kitchen</v>
          </cell>
          <cell r="G42">
            <v>7.5109938260097859</v>
          </cell>
          <cell r="H42">
            <v>17.059668304646209</v>
          </cell>
          <cell r="I42">
            <v>9.548674478636423</v>
          </cell>
          <cell r="J42">
            <v>239.03942683357445</v>
          </cell>
          <cell r="K42">
            <v>2099.0096334306545</v>
          </cell>
          <cell r="L42">
            <v>183.55596632465478</v>
          </cell>
          <cell r="M42">
            <v>11.543717005935658</v>
          </cell>
          <cell r="N42">
            <v>239.03942683357445</v>
          </cell>
          <cell r="O42">
            <v>11.543717005935658</v>
          </cell>
          <cell r="P42">
            <v>229.22923389825812</v>
          </cell>
          <cell r="Q42">
            <v>0.6735954267321822</v>
          </cell>
          <cell r="R42">
            <v>0.97537561737559819</v>
          </cell>
          <cell r="S42">
            <v>0.57890412123688006</v>
          </cell>
          <cell r="T42">
            <v>1.3761022782305383</v>
          </cell>
          <cell r="U42">
            <v>0.95672293045778722</v>
          </cell>
          <cell r="V42">
            <v>1.0654460572260602</v>
          </cell>
          <cell r="W42">
            <v>20.992158763408934</v>
          </cell>
          <cell r="X42">
            <v>23.999999999999996</v>
          </cell>
          <cell r="Y42">
            <v>3.9751819576186112</v>
          </cell>
          <cell r="Z42">
            <v>19.999999999999993</v>
          </cell>
          <cell r="AA42">
            <v>25.999999999999996</v>
          </cell>
          <cell r="AB42">
            <v>0.5093728318362194</v>
          </cell>
          <cell r="AC42">
            <v>8.0333214091834755</v>
          </cell>
          <cell r="AD42">
            <v>1.9226161898575689</v>
          </cell>
          <cell r="AE42">
            <v>0.23767939216045872</v>
          </cell>
          <cell r="AF42">
            <v>0.92496124191251239</v>
          </cell>
          <cell r="AG42">
            <v>54.704535789522808</v>
          </cell>
          <cell r="AH42">
            <v>36.792352409174924</v>
          </cell>
        </row>
        <row r="43">
          <cell r="E43" t="str">
            <v>Studentenhaus</v>
          </cell>
          <cell r="F43" t="str">
            <v>Student Residence</v>
          </cell>
          <cell r="G43">
            <v>2.0849447580562068</v>
          </cell>
          <cell r="H43">
            <v>13.622961187204432</v>
          </cell>
          <cell r="I43">
            <v>11.538016429148225</v>
          </cell>
          <cell r="J43">
            <v>318.78623142129828</v>
          </cell>
          <cell r="K43">
            <v>1654.5019911226996</v>
          </cell>
          <cell r="L43">
            <v>2022.8043747678769</v>
          </cell>
          <cell r="M43">
            <v>19.078770390798905</v>
          </cell>
          <cell r="N43">
            <v>318.78623142129828</v>
          </cell>
          <cell r="O43">
            <v>19.064067761742677</v>
          </cell>
          <cell r="P43">
            <v>206.06034028022665</v>
          </cell>
          <cell r="Q43">
            <v>0.7170107165481413</v>
          </cell>
          <cell r="R43">
            <v>0.99270506291374916</v>
          </cell>
          <cell r="S43">
            <v>0.54922952916409695</v>
          </cell>
          <cell r="T43">
            <v>1.3367739827705531</v>
          </cell>
          <cell r="U43">
            <v>0.62979248919806585</v>
          </cell>
          <cell r="V43">
            <v>1.0487274416786074</v>
          </cell>
          <cell r="W43">
            <v>21.055954474012164</v>
          </cell>
          <cell r="X43">
            <v>24.039445607402435</v>
          </cell>
          <cell r="Y43">
            <v>1.8448890506644646</v>
          </cell>
          <cell r="Z43">
            <v>20.003138121033029</v>
          </cell>
          <cell r="AA43">
            <v>26.023952375558757</v>
          </cell>
          <cell r="AB43">
            <v>0.69128621944404745</v>
          </cell>
          <cell r="AC43">
            <v>6.5352055290967259</v>
          </cell>
          <cell r="AD43">
            <v>1.7051965280060493</v>
          </cell>
          <cell r="AE43">
            <v>0.36929165677109355</v>
          </cell>
          <cell r="AF43">
            <v>0.70289803221272096</v>
          </cell>
          <cell r="AG43">
            <v>65.36905794030487</v>
          </cell>
          <cell r="AH43">
            <v>60.656898705888324</v>
          </cell>
        </row>
        <row r="44">
          <cell r="E44" t="str">
            <v>Altentagesstätte</v>
          </cell>
          <cell r="F44" t="str">
            <v>Senior Day Care Center</v>
          </cell>
          <cell r="G44">
            <v>8.3362992189387235</v>
          </cell>
          <cell r="H44">
            <v>18.938139141637812</v>
          </cell>
          <cell r="I44">
            <v>10.60183992269909</v>
          </cell>
          <cell r="J44">
            <v>253.51728924138484</v>
          </cell>
          <cell r="K44">
            <v>2282.4253160479907</v>
          </cell>
          <cell r="L44">
            <v>405.32440212577507</v>
          </cell>
          <cell r="M44">
            <v>12.742833561478379</v>
          </cell>
          <cell r="N44">
            <v>253.51728924138484</v>
          </cell>
          <cell r="O44">
            <v>12.598900877687415</v>
          </cell>
          <cell r="P44">
            <v>284.33971256434455</v>
          </cell>
          <cell r="Q44">
            <v>0.73240913915508599</v>
          </cell>
          <cell r="R44">
            <v>0.95968172833552023</v>
          </cell>
          <cell r="S44">
            <v>0.54825740472451712</v>
          </cell>
          <cell r="T44">
            <v>1.4797524764695051</v>
          </cell>
          <cell r="U44">
            <v>0.98470351671011691</v>
          </cell>
          <cell r="V44">
            <v>1.0919004209570937</v>
          </cell>
          <cell r="W44">
            <v>20.953208634842035</v>
          </cell>
          <cell r="X44">
            <v>24.000000000000007</v>
          </cell>
          <cell r="Y44">
            <v>3.9825161347898161</v>
          </cell>
          <cell r="Z44">
            <v>19.997989949748735</v>
          </cell>
          <cell r="AA44">
            <v>26.000000000000004</v>
          </cell>
          <cell r="AB44">
            <v>0.62698302690365848</v>
          </cell>
          <cell r="AC44">
            <v>11.662060301507536</v>
          </cell>
          <cell r="AD44">
            <v>2.1231155778894468</v>
          </cell>
          <cell r="AE44">
            <v>0.34291483831032349</v>
          </cell>
          <cell r="AF44">
            <v>0.84303730891263196</v>
          </cell>
          <cell r="AG44">
            <v>69.499194782188582</v>
          </cell>
          <cell r="AH44">
            <v>55.925235526209839</v>
          </cell>
        </row>
        <row r="45">
          <cell r="E45" t="str">
            <v>Jugendzentrum</v>
          </cell>
          <cell r="F45" t="str">
            <v>Youth Center</v>
          </cell>
          <cell r="G45">
            <v>8.3362992189387235</v>
          </cell>
          <cell r="H45">
            <v>18.938139141637812</v>
          </cell>
          <cell r="I45">
            <v>10.60183992269909</v>
          </cell>
          <cell r="J45">
            <v>253.51728924138484</v>
          </cell>
          <cell r="K45">
            <v>2282.4253160479907</v>
          </cell>
          <cell r="L45">
            <v>405.32440212577507</v>
          </cell>
          <cell r="M45">
            <v>12.742833561478379</v>
          </cell>
          <cell r="N45">
            <v>253.51728924138484</v>
          </cell>
          <cell r="O45">
            <v>12.598900877687415</v>
          </cell>
          <cell r="P45">
            <v>284.33971256434455</v>
          </cell>
          <cell r="Q45">
            <v>0.73240913915508599</v>
          </cell>
          <cell r="R45">
            <v>0.95968172833552023</v>
          </cell>
          <cell r="S45">
            <v>0.54825740472451712</v>
          </cell>
          <cell r="T45">
            <v>1.4797524764695051</v>
          </cell>
          <cell r="U45">
            <v>0.98470351671011691</v>
          </cell>
          <cell r="V45">
            <v>1.0919004209570937</v>
          </cell>
          <cell r="W45">
            <v>20.953208634842035</v>
          </cell>
          <cell r="X45">
            <v>24.000000000000007</v>
          </cell>
          <cell r="Y45">
            <v>3.9825161347898161</v>
          </cell>
          <cell r="Z45">
            <v>19.997989949748735</v>
          </cell>
          <cell r="AA45">
            <v>26.000000000000004</v>
          </cell>
          <cell r="AB45">
            <v>0.62698302690365848</v>
          </cell>
          <cell r="AC45">
            <v>11.662060301507536</v>
          </cell>
          <cell r="AD45">
            <v>2.1231155778894468</v>
          </cell>
          <cell r="AE45">
            <v>0.34291483831032349</v>
          </cell>
          <cell r="AF45">
            <v>0.84303730891263196</v>
          </cell>
          <cell r="AG45">
            <v>69.499194782188582</v>
          </cell>
          <cell r="AH45">
            <v>55.925235526209839</v>
          </cell>
        </row>
        <row r="46">
          <cell r="E46" t="str">
            <v/>
          </cell>
          <cell r="G46">
            <v>8.7532204488373964</v>
          </cell>
          <cell r="H46">
            <v>18.912987118204647</v>
          </cell>
          <cell r="I46">
            <v>10.159766669367253</v>
          </cell>
          <cell r="J46">
            <v>255.53029457265436</v>
          </cell>
          <cell r="K46">
            <v>2214.604148100138</v>
          </cell>
          <cell r="L46">
            <v>381.52402171271166</v>
          </cell>
          <cell r="M46">
            <v>13.754354694968811</v>
          </cell>
          <cell r="N46">
            <v>265.52614790832683</v>
          </cell>
          <cell r="O46">
            <v>13.698655108158473</v>
          </cell>
          <cell r="P46">
            <v>268.12969490119781</v>
          </cell>
          <cell r="Q46">
            <v>0.70333088786462739</v>
          </cell>
          <cell r="R46">
            <v>0.95540581489928378</v>
          </cell>
          <cell r="S46">
            <v>0.50654255912983848</v>
          </cell>
          <cell r="T46">
            <v>1.5208240299197775</v>
          </cell>
          <cell r="U46">
            <v>0.97061490247364479</v>
          </cell>
          <cell r="V46">
            <v>1.1743791965040433</v>
          </cell>
          <cell r="W46">
            <v>20.960829970813858</v>
          </cell>
          <cell r="X46">
            <v>24</v>
          </cell>
          <cell r="Y46">
            <v>4</v>
          </cell>
          <cell r="Z46">
            <v>19.985685071574636</v>
          </cell>
          <cell r="AA46">
            <v>25.999999999999996</v>
          </cell>
          <cell r="AB46">
            <v>0.69548332562479076</v>
          </cell>
          <cell r="AC46">
            <v>8.6167177914110447</v>
          </cell>
          <cell r="AD46">
            <v>1.923057259713701</v>
          </cell>
          <cell r="AE46">
            <v>0.30197684247460166</v>
          </cell>
          <cell r="AF46">
            <v>0.89447337363040458</v>
          </cell>
          <cell r="AG46">
            <v>54.897391233897757</v>
          </cell>
          <cell r="AH46">
            <v>31.060925220772909</v>
          </cell>
        </row>
        <row r="47">
          <cell r="E47" t="str">
            <v>Bibliothek/Archiv (einfach, z.B. Stadtbücherei)</v>
          </cell>
          <cell r="F47" t="str">
            <v>Library/Archive (basic, e.g., City Library)</v>
          </cell>
          <cell r="G47">
            <v>7.4964085005024357</v>
          </cell>
          <cell r="H47">
            <v>18.848673192154525</v>
          </cell>
          <cell r="I47">
            <v>11.352264691652087</v>
          </cell>
          <cell r="J47">
            <v>272.38330426458248</v>
          </cell>
          <cell r="K47">
            <v>2715.9628940414605</v>
          </cell>
          <cell r="L47">
            <v>376.20447355688708</v>
          </cell>
          <cell r="M47">
            <v>13.429081841527408</v>
          </cell>
          <cell r="N47">
            <v>272.68491987515739</v>
          </cell>
          <cell r="O47">
            <v>13.398377312144104</v>
          </cell>
          <cell r="P47">
            <v>278.1912242971045</v>
          </cell>
          <cell r="Q47">
            <v>0.72844497482165327</v>
          </cell>
          <cell r="R47">
            <v>0.95248668957196803</v>
          </cell>
          <cell r="S47">
            <v>0.45795871800251786</v>
          </cell>
          <cell r="T47">
            <v>1.347574289236257</v>
          </cell>
          <cell r="U47">
            <v>0.95920517729752408</v>
          </cell>
          <cell r="V47">
            <v>1.3534672681493913</v>
          </cell>
          <cell r="W47">
            <v>20.994364377885013</v>
          </cell>
          <cell r="X47">
            <v>23.999999999999996</v>
          </cell>
          <cell r="Y47">
            <v>3.9999999999999996</v>
          </cell>
          <cell r="Z47">
            <v>19.982017982017982</v>
          </cell>
          <cell r="AA47">
            <v>26.000000000000004</v>
          </cell>
          <cell r="AB47">
            <v>0.66158728493495589</v>
          </cell>
          <cell r="AC47">
            <v>4.286863136863138</v>
          </cell>
          <cell r="AD47">
            <v>1.6196303696303698</v>
          </cell>
          <cell r="AE47">
            <v>0.24853781997482169</v>
          </cell>
          <cell r="AF47">
            <v>0.93438876940830873</v>
          </cell>
          <cell r="AG47">
            <v>50.360787524656665</v>
          </cell>
          <cell r="AH47">
            <v>9.6012877293535279</v>
          </cell>
        </row>
        <row r="48">
          <cell r="E48" t="str">
            <v>Bibliothek/Archiv (höher technisiert, z.B. Unibibliothek)</v>
          </cell>
          <cell r="F48" t="str">
            <v>Library/Archive (higher technical equipment, e.g., University Library)</v>
          </cell>
          <cell r="G48">
            <v>7.4964085005024357</v>
          </cell>
          <cell r="H48">
            <v>18.848673192154525</v>
          </cell>
          <cell r="I48">
            <v>11.352264691652087</v>
          </cell>
          <cell r="J48">
            <v>272.38330426458248</v>
          </cell>
          <cell r="K48">
            <v>2715.9628940414605</v>
          </cell>
          <cell r="L48">
            <v>376.20447355688708</v>
          </cell>
          <cell r="M48">
            <v>13.429081841527408</v>
          </cell>
          <cell r="N48">
            <v>272.68491987515739</v>
          </cell>
          <cell r="O48">
            <v>13.398377312144104</v>
          </cell>
          <cell r="P48">
            <v>278.1912242971045</v>
          </cell>
          <cell r="Q48">
            <v>0.72844497482165327</v>
          </cell>
          <cell r="R48">
            <v>0.95248668957196803</v>
          </cell>
          <cell r="S48">
            <v>0.45795871800251786</v>
          </cell>
          <cell r="T48">
            <v>1.347574289236257</v>
          </cell>
          <cell r="U48">
            <v>0.95920517729752408</v>
          </cell>
          <cell r="V48">
            <v>1.3534672681493913</v>
          </cell>
          <cell r="W48">
            <v>20.994364377885013</v>
          </cell>
          <cell r="X48">
            <v>23.999999999999996</v>
          </cell>
          <cell r="Y48">
            <v>3.9999999999999996</v>
          </cell>
          <cell r="Z48">
            <v>19.982017982017982</v>
          </cell>
          <cell r="AA48">
            <v>26.000000000000004</v>
          </cell>
          <cell r="AB48">
            <v>0.66158728493495589</v>
          </cell>
          <cell r="AC48">
            <v>4.286863136863138</v>
          </cell>
          <cell r="AD48">
            <v>1.6196303696303698</v>
          </cell>
          <cell r="AE48">
            <v>0.24853781997482169</v>
          </cell>
          <cell r="AF48">
            <v>0.93438876940830873</v>
          </cell>
          <cell r="AG48">
            <v>50.360787524656665</v>
          </cell>
          <cell r="AH48">
            <v>9.6012877293535279</v>
          </cell>
        </row>
        <row r="49">
          <cell r="E49" t="str">
            <v>Ausstellungsgebäude (Museen, Galerien)</v>
          </cell>
          <cell r="F49" t="str">
            <v>Exhibition Building (Museums, Galleries)</v>
          </cell>
          <cell r="G49">
            <v>8.6001186591515868</v>
          </cell>
          <cell r="H49">
            <v>18.419262335607627</v>
          </cell>
          <cell r="I49">
            <v>9.8191436764560471</v>
          </cell>
          <cell r="J49">
            <v>259.09905237610894</v>
          </cell>
          <cell r="K49">
            <v>2186.781073865322</v>
          </cell>
          <cell r="L49">
            <v>357.34974784930284</v>
          </cell>
          <cell r="M49">
            <v>17.328784732522497</v>
          </cell>
          <cell r="N49">
            <v>295.69485705078495</v>
          </cell>
          <cell r="O49">
            <v>17.328784732522497</v>
          </cell>
          <cell r="P49">
            <v>218.32609943505093</v>
          </cell>
          <cell r="Q49">
            <v>0.69898188336471923</v>
          </cell>
          <cell r="R49">
            <v>0.94159817121680534</v>
          </cell>
          <cell r="S49">
            <v>0.4079153281437245</v>
          </cell>
          <cell r="T49">
            <v>1.6224594918480171</v>
          </cell>
          <cell r="U49">
            <v>0.95240430609963622</v>
          </cell>
          <cell r="V49">
            <v>1.1669630718723876</v>
          </cell>
          <cell r="W49">
            <v>20.674081832005719</v>
          </cell>
          <cell r="X49">
            <v>24.070573307418854</v>
          </cell>
          <cell r="Y49">
            <v>3.8265072859286411</v>
          </cell>
          <cell r="Z49">
            <v>19.899598393574301</v>
          </cell>
          <cell r="AA49">
            <v>26.020080321285143</v>
          </cell>
          <cell r="AB49">
            <v>0.97772429280671891</v>
          </cell>
          <cell r="AC49">
            <v>4.6100401606425701</v>
          </cell>
          <cell r="AD49">
            <v>1.7911646586345382</v>
          </cell>
          <cell r="AE49">
            <v>0.32242273491707024</v>
          </cell>
          <cell r="AF49">
            <v>0.9339110381567155</v>
          </cell>
          <cell r="AG49">
            <v>38.444180757440911</v>
          </cell>
          <cell r="AH49">
            <v>13.166221694848211</v>
          </cell>
        </row>
        <row r="50">
          <cell r="E50" t="str">
            <v>Oper, Theater und Veranstaltungshalle, Kino, Konferenzzentrum</v>
          </cell>
          <cell r="F50" t="str">
            <v>Opera House, Theater and Event Hall, Cinema, Conference Center</v>
          </cell>
          <cell r="G50">
            <v>9.4042983005542933</v>
          </cell>
          <cell r="H50">
            <v>19.33923644253597</v>
          </cell>
          <cell r="I50">
            <v>9.934938141981668</v>
          </cell>
          <cell r="J50">
            <v>252.44535554962803</v>
          </cell>
          <cell r="K50">
            <v>2050.8796519582934</v>
          </cell>
          <cell r="L50">
            <v>457.19204430815898</v>
          </cell>
          <cell r="M50">
            <v>11.989478896408269</v>
          </cell>
          <cell r="N50">
            <v>252.44535554962803</v>
          </cell>
          <cell r="O50">
            <v>11.92327966007133</v>
          </cell>
          <cell r="P50">
            <v>284.85381639103809</v>
          </cell>
          <cell r="Q50">
            <v>0.65972654115117069</v>
          </cell>
          <cell r="R50">
            <v>0.9647103599828224</v>
          </cell>
          <cell r="S50">
            <v>0.56343554852606481</v>
          </cell>
          <cell r="T50">
            <v>1.5919764925982165</v>
          </cell>
          <cell r="U50">
            <v>0.96337485878556806</v>
          </cell>
          <cell r="V50">
            <v>1.1762170107257612</v>
          </cell>
          <cell r="W50">
            <v>20.946699238618208</v>
          </cell>
          <cell r="X50">
            <v>24.010321713893802</v>
          </cell>
          <cell r="Y50">
            <v>3.9988031302309119</v>
          </cell>
          <cell r="Z50">
            <v>19.967134514040136</v>
          </cell>
          <cell r="AA50">
            <v>26.012136650472069</v>
          </cell>
          <cell r="AB50">
            <v>0.54171789891909417</v>
          </cell>
          <cell r="AC50">
            <v>11.035283572935132</v>
          </cell>
          <cell r="AD50">
            <v>1.9920748490697044</v>
          </cell>
          <cell r="AE50">
            <v>0.27804668885188477</v>
          </cell>
          <cell r="AF50">
            <v>0.88481019365250524</v>
          </cell>
          <cell r="AG50">
            <v>61.084278055442695</v>
          </cell>
          <cell r="AH50">
            <v>36.422250018288409</v>
          </cell>
        </row>
        <row r="51">
          <cell r="E51" t="str">
            <v>Freizeit-, Gemeinschafts-, Bürgerhaus</v>
          </cell>
          <cell r="F51" t="str">
            <v>Recreation, Community, Civic Center</v>
          </cell>
          <cell r="G51">
            <v>8.3362992189387235</v>
          </cell>
          <cell r="H51">
            <v>18.938139141637812</v>
          </cell>
          <cell r="I51">
            <v>10.60183992269909</v>
          </cell>
          <cell r="J51">
            <v>253.51728924138484</v>
          </cell>
          <cell r="K51">
            <v>2282.4253160479907</v>
          </cell>
          <cell r="L51">
            <v>405.32440212577507</v>
          </cell>
          <cell r="M51">
            <v>12.742833561478379</v>
          </cell>
          <cell r="N51">
            <v>253.51728924138484</v>
          </cell>
          <cell r="O51">
            <v>12.598900877687415</v>
          </cell>
          <cell r="P51">
            <v>284.33971256434455</v>
          </cell>
          <cell r="Q51">
            <v>0.73240913915508599</v>
          </cell>
          <cell r="R51">
            <v>0.95968172833552023</v>
          </cell>
          <cell r="S51">
            <v>0.54825740472451712</v>
          </cell>
          <cell r="T51">
            <v>1.4797524764695051</v>
          </cell>
          <cell r="U51">
            <v>0.98470351671011691</v>
          </cell>
          <cell r="V51">
            <v>1.0919004209570937</v>
          </cell>
          <cell r="W51">
            <v>20.953208634842035</v>
          </cell>
          <cell r="X51">
            <v>24.000000000000007</v>
          </cell>
          <cell r="Y51">
            <v>3.9825161347898161</v>
          </cell>
          <cell r="Z51">
            <v>19.997989949748735</v>
          </cell>
          <cell r="AA51">
            <v>26.000000000000004</v>
          </cell>
          <cell r="AB51">
            <v>0.62698302690365848</v>
          </cell>
          <cell r="AC51">
            <v>11.662060301507536</v>
          </cell>
          <cell r="AD51">
            <v>2.1231155778894468</v>
          </cell>
          <cell r="AE51">
            <v>0.34291483831032349</v>
          </cell>
          <cell r="AF51">
            <v>0.84303730891263196</v>
          </cell>
          <cell r="AG51">
            <v>69.499194782188582</v>
          </cell>
          <cell r="AH51">
            <v>55.925235526209839</v>
          </cell>
        </row>
        <row r="52">
          <cell r="E52" t="str">
            <v>Spielkasino, -bank, -halle</v>
          </cell>
          <cell r="F52" t="str">
            <v>Casino, Gaming Hall</v>
          </cell>
          <cell r="G52">
            <v>8.3362992189387235</v>
          </cell>
          <cell r="H52">
            <v>18.938139141637812</v>
          </cell>
          <cell r="I52">
            <v>10.60183992269909</v>
          </cell>
          <cell r="J52">
            <v>253.51728924138484</v>
          </cell>
          <cell r="K52">
            <v>2282.4253160479907</v>
          </cell>
          <cell r="L52">
            <v>405.32440212577507</v>
          </cell>
          <cell r="M52">
            <v>12.742833561478379</v>
          </cell>
          <cell r="N52">
            <v>253.51728924138484</v>
          </cell>
          <cell r="O52">
            <v>12.598900877687415</v>
          </cell>
          <cell r="P52">
            <v>284.33971256434455</v>
          </cell>
          <cell r="Q52">
            <v>0.73240913915508599</v>
          </cell>
          <cell r="R52">
            <v>0.95968172833552023</v>
          </cell>
          <cell r="S52">
            <v>0.54825740472451712</v>
          </cell>
          <cell r="T52">
            <v>1.4797524764695051</v>
          </cell>
          <cell r="U52">
            <v>0.98470351671011691</v>
          </cell>
          <cell r="V52">
            <v>1.0919004209570937</v>
          </cell>
          <cell r="W52">
            <v>20.953208634842035</v>
          </cell>
          <cell r="X52">
            <v>24.000000000000007</v>
          </cell>
          <cell r="Y52">
            <v>3.9825161347898161</v>
          </cell>
          <cell r="Z52">
            <v>19.997989949748735</v>
          </cell>
          <cell r="AA52">
            <v>26.000000000000004</v>
          </cell>
          <cell r="AB52">
            <v>0.62698302690365848</v>
          </cell>
          <cell r="AC52">
            <v>11.662060301507536</v>
          </cell>
          <cell r="AD52">
            <v>2.1231155778894468</v>
          </cell>
          <cell r="AE52">
            <v>0.34291483831032349</v>
          </cell>
          <cell r="AF52">
            <v>0.84303730891263196</v>
          </cell>
          <cell r="AG52">
            <v>69.499194782188582</v>
          </cell>
          <cell r="AH52">
            <v>55.925235526209839</v>
          </cell>
        </row>
        <row r="53">
          <cell r="E53" t="str">
            <v/>
          </cell>
          <cell r="G53">
            <v>7.6069472303656838</v>
          </cell>
          <cell r="H53">
            <v>20.46358586637864</v>
          </cell>
          <cell r="I53">
            <v>12.856638636012958</v>
          </cell>
          <cell r="J53">
            <v>264.9810978546065</v>
          </cell>
          <cell r="K53">
            <v>2598.7738774880422</v>
          </cell>
          <cell r="L53">
            <v>807.9923430026231</v>
          </cell>
          <cell r="M53">
            <v>14.918685388057398</v>
          </cell>
          <cell r="N53">
            <v>264.9810978546065</v>
          </cell>
          <cell r="O53">
            <v>14.897469526307669</v>
          </cell>
          <cell r="P53">
            <v>252.11201471367005</v>
          </cell>
          <cell r="Q53">
            <v>0.75532732965191551</v>
          </cell>
          <cell r="R53">
            <v>0.99187192746376729</v>
          </cell>
          <cell r="S53">
            <v>0.45105379460568779</v>
          </cell>
          <cell r="T53">
            <v>1.6479656190977678</v>
          </cell>
          <cell r="U53">
            <v>0.99319207730077375</v>
          </cell>
          <cell r="V53">
            <v>1.0961909176691556</v>
          </cell>
          <cell r="W53">
            <v>20.097221534644181</v>
          </cell>
          <cell r="X53">
            <v>24.136671512216637</v>
          </cell>
          <cell r="Y53">
            <v>3.9348146014572656</v>
          </cell>
          <cell r="Z53">
            <v>19.927</v>
          </cell>
          <cell r="AA53">
            <v>26.077999999999999</v>
          </cell>
          <cell r="AB53">
            <v>0.25914091249356802</v>
          </cell>
          <cell r="AC53">
            <v>5.7723499999999994</v>
          </cell>
          <cell r="AD53">
            <v>1.59975</v>
          </cell>
          <cell r="AE53">
            <v>0.39185422545458909</v>
          </cell>
          <cell r="AF53">
            <v>0.91775691540989901</v>
          </cell>
          <cell r="AG53">
            <v>62.980057089955245</v>
          </cell>
          <cell r="AH53">
            <v>25.237039037185617</v>
          </cell>
        </row>
        <row r="54">
          <cell r="E54" t="str">
            <v>Einfeldhalle</v>
          </cell>
          <cell r="F54" t="str">
            <v>Single-Court Sports Hall</v>
          </cell>
          <cell r="G54">
            <v>7.7050068737423043</v>
          </cell>
          <cell r="H54">
            <v>20.985455559761711</v>
          </cell>
          <cell r="I54">
            <v>13.280448686019403</v>
          </cell>
          <cell r="J54">
            <v>251.65286943841426</v>
          </cell>
          <cell r="K54">
            <v>2512.1637943057522</v>
          </cell>
          <cell r="L54">
            <v>829.89922496065026</v>
          </cell>
          <cell r="M54">
            <v>15.280448686019408</v>
          </cell>
          <cell r="N54">
            <v>251.65286943841426</v>
          </cell>
          <cell r="O54">
            <v>15.280448686019408</v>
          </cell>
          <cell r="P54">
            <v>254.70108422510233</v>
          </cell>
          <cell r="Q54">
            <v>0.88069623244153927</v>
          </cell>
          <cell r="R54">
            <v>0.99572866017861872</v>
          </cell>
          <cell r="S54">
            <v>0.47155315583466728</v>
          </cell>
          <cell r="T54">
            <v>1.704161222037359</v>
          </cell>
          <cell r="U54">
            <v>0.99702952026752323</v>
          </cell>
          <cell r="V54">
            <v>1.080037926125069</v>
          </cell>
          <cell r="W54">
            <v>19.721384003516565</v>
          </cell>
          <cell r="X54">
            <v>24.042054791848884</v>
          </cell>
          <cell r="Y54">
            <v>4</v>
          </cell>
          <cell r="Z54">
            <v>20.006006006006004</v>
          </cell>
          <cell r="AA54">
            <v>26.024024024024026</v>
          </cell>
          <cell r="AB54">
            <v>7.3900434920239622E-2</v>
          </cell>
          <cell r="AC54">
            <v>4.59049049049049</v>
          </cell>
          <cell r="AD54">
            <v>1.4952452452452452</v>
          </cell>
          <cell r="AE54">
            <v>0.41842432552857284</v>
          </cell>
          <cell r="AF54">
            <v>0.92251323588759582</v>
          </cell>
          <cell r="AG54">
            <v>45.008905979159607</v>
          </cell>
          <cell r="AH54">
            <v>10.869996612938573</v>
          </cell>
        </row>
        <row r="55">
          <cell r="E55" t="str">
            <v>Mehrfeldhalle</v>
          </cell>
          <cell r="F55" t="str">
            <v>Multi-Court Sports Hall</v>
          </cell>
          <cell r="G55">
            <v>7.7050068737423043</v>
          </cell>
          <cell r="H55">
            <v>20.985455559761711</v>
          </cell>
          <cell r="I55">
            <v>13.280448686019403</v>
          </cell>
          <cell r="J55">
            <v>251.65286943841426</v>
          </cell>
          <cell r="K55">
            <v>2512.1637943057522</v>
          </cell>
          <cell r="L55">
            <v>829.89922496065026</v>
          </cell>
          <cell r="M55">
            <v>15.280448686019408</v>
          </cell>
          <cell r="N55">
            <v>251.65286943841426</v>
          </cell>
          <cell r="O55">
            <v>15.280448686019408</v>
          </cell>
          <cell r="P55">
            <v>254.70108422510233</v>
          </cell>
          <cell r="Q55">
            <v>0.88069623244153927</v>
          </cell>
          <cell r="R55">
            <v>0.99572866017861872</v>
          </cell>
          <cell r="S55">
            <v>0.47155315583466728</v>
          </cell>
          <cell r="T55">
            <v>1.704161222037359</v>
          </cell>
          <cell r="U55">
            <v>0.99702952026752323</v>
          </cell>
          <cell r="V55">
            <v>1.080037926125069</v>
          </cell>
          <cell r="W55">
            <v>19.721384003516565</v>
          </cell>
          <cell r="X55">
            <v>24.042054791848884</v>
          </cell>
          <cell r="Y55">
            <v>4</v>
          </cell>
          <cell r="Z55">
            <v>20.006006006006004</v>
          </cell>
          <cell r="AA55">
            <v>26.024024024024026</v>
          </cell>
          <cell r="AB55">
            <v>7.3900434920239622E-2</v>
          </cell>
          <cell r="AC55">
            <v>4.59049049049049</v>
          </cell>
          <cell r="AD55">
            <v>1.4952452452452452</v>
          </cell>
          <cell r="AE55">
            <v>0.41842432552857284</v>
          </cell>
          <cell r="AF55">
            <v>0.92251323588759582</v>
          </cell>
          <cell r="AG55">
            <v>45.008905979159607</v>
          </cell>
          <cell r="AH55">
            <v>10.869996612938573</v>
          </cell>
        </row>
        <row r="56">
          <cell r="E56" t="str">
            <v>Gymnastikhalle</v>
          </cell>
          <cell r="F56" t="str">
            <v>Gymnastics Hall</v>
          </cell>
          <cell r="G56">
            <v>7.7024756903875389</v>
          </cell>
          <cell r="H56">
            <v>20.794552947396557</v>
          </cell>
          <cell r="I56">
            <v>13.092077257009018</v>
          </cell>
          <cell r="J56">
            <v>257.47656417383888</v>
          </cell>
          <cell r="K56">
            <v>2549.3219261010945</v>
          </cell>
          <cell r="L56">
            <v>821.65595447110354</v>
          </cell>
          <cell r="M56">
            <v>15.092077257009016</v>
          </cell>
          <cell r="N56">
            <v>257.47656417383888</v>
          </cell>
          <cell r="O56">
            <v>15.092077257009016</v>
          </cell>
          <cell r="P56">
            <v>256.47834588179956</v>
          </cell>
          <cell r="Q56">
            <v>0.81491026554166601</v>
          </cell>
          <cell r="R56">
            <v>0.99447025781446963</v>
          </cell>
          <cell r="S56">
            <v>0.45225483205712969</v>
          </cell>
          <cell r="T56">
            <v>1.7044564406388747</v>
          </cell>
          <cell r="U56">
            <v>0.99625680094934166</v>
          </cell>
          <cell r="V56">
            <v>1.0790087035692613</v>
          </cell>
          <cell r="W56">
            <v>19.817021061165661</v>
          </cell>
          <cell r="X56">
            <v>24.016123238545916</v>
          </cell>
          <cell r="Y56">
            <v>3.9824662977732097</v>
          </cell>
          <cell r="Z56">
            <v>19.929825536196095</v>
          </cell>
          <cell r="AA56">
            <v>26.009234889712044</v>
          </cell>
          <cell r="AB56">
            <v>0.1526981256463977</v>
          </cell>
          <cell r="AC56">
            <v>4.9043560898461909</v>
          </cell>
          <cell r="AD56">
            <v>1.5100303539580187</v>
          </cell>
          <cell r="AE56">
            <v>0.40688161554339869</v>
          </cell>
          <cell r="AF56">
            <v>0.92070152264551486</v>
          </cell>
          <cell r="AG56">
            <v>55.840091738737733</v>
          </cell>
          <cell r="AH56">
            <v>11.151779822141952</v>
          </cell>
        </row>
        <row r="57">
          <cell r="E57" t="str">
            <v>Sporthalle mit Mehrzwecknutzung</v>
          </cell>
          <cell r="F57" t="str">
            <v>Multipurpose Sports Hall</v>
          </cell>
          <cell r="G57">
            <v>7.7024756903875389</v>
          </cell>
          <cell r="H57">
            <v>20.794552947396557</v>
          </cell>
          <cell r="I57">
            <v>13.092077257009018</v>
          </cell>
          <cell r="J57">
            <v>257.47656417383888</v>
          </cell>
          <cell r="K57">
            <v>2549.3219261010945</v>
          </cell>
          <cell r="L57">
            <v>821.65595447110354</v>
          </cell>
          <cell r="M57">
            <v>15.092077257009016</v>
          </cell>
          <cell r="N57">
            <v>257.47656417383888</v>
          </cell>
          <cell r="O57">
            <v>15.092077257009016</v>
          </cell>
          <cell r="P57">
            <v>256.47834588179956</v>
          </cell>
          <cell r="Q57">
            <v>0.81491026554166601</v>
          </cell>
          <cell r="R57">
            <v>0.99447025781446963</v>
          </cell>
          <cell r="S57">
            <v>0.45225483205712969</v>
          </cell>
          <cell r="T57">
            <v>1.7044564406388747</v>
          </cell>
          <cell r="U57">
            <v>0.99625680094934166</v>
          </cell>
          <cell r="V57">
            <v>1.0790087035692613</v>
          </cell>
          <cell r="W57">
            <v>19.817021061165661</v>
          </cell>
          <cell r="X57">
            <v>24.016123238545916</v>
          </cell>
          <cell r="Y57">
            <v>3.9824662977732097</v>
          </cell>
          <cell r="Z57">
            <v>19.929825536196095</v>
          </cell>
          <cell r="AA57">
            <v>26.009234889712044</v>
          </cell>
          <cell r="AB57">
            <v>0.1526981256463977</v>
          </cell>
          <cell r="AC57">
            <v>4.9043560898461909</v>
          </cell>
          <cell r="AD57">
            <v>1.5100303539580187</v>
          </cell>
          <cell r="AE57">
            <v>0.40688161554339869</v>
          </cell>
          <cell r="AF57">
            <v>0.92070152264551486</v>
          </cell>
          <cell r="AG57">
            <v>55.840091738737733</v>
          </cell>
          <cell r="AH57">
            <v>11.151779822141952</v>
          </cell>
        </row>
        <row r="58">
          <cell r="E58" t="str">
            <v>Hallenbad</v>
          </cell>
          <cell r="F58" t="str">
            <v>Indoor Swimming Pool</v>
          </cell>
          <cell r="G58">
            <v>7.684164278892073</v>
          </cell>
          <cell r="H58">
            <v>20.232511938872971</v>
          </cell>
          <cell r="I58">
            <v>12.548347659980898</v>
          </cell>
          <cell r="J58">
            <v>266.23350981723416</v>
          </cell>
          <cell r="K58">
            <v>2606.0970391595033</v>
          </cell>
          <cell r="L58">
            <v>734.69360076408782</v>
          </cell>
          <cell r="M58">
            <v>14.548347659980896</v>
          </cell>
          <cell r="N58">
            <v>266.23350981723416</v>
          </cell>
          <cell r="O58">
            <v>14.548347659980896</v>
          </cell>
          <cell r="P58">
            <v>234.66249356833396</v>
          </cell>
          <cell r="Q58">
            <v>0.73014403887314161</v>
          </cell>
          <cell r="R58">
            <v>0.9898142199949459</v>
          </cell>
          <cell r="S58">
            <v>0.48432348007173015</v>
          </cell>
          <cell r="T58">
            <v>1.5651493516576189</v>
          </cell>
          <cell r="U58">
            <v>0.99924646753112301</v>
          </cell>
          <cell r="V58">
            <v>1.1721859748578942</v>
          </cell>
          <cell r="W58">
            <v>20.421436248108552</v>
          </cell>
          <cell r="X58">
            <v>24.597418808779338</v>
          </cell>
          <cell r="Y58">
            <v>3.9999999999999996</v>
          </cell>
          <cell r="Z58">
            <v>20.099800399201591</v>
          </cell>
          <cell r="AA58">
            <v>26.335329341317358</v>
          </cell>
          <cell r="AB58">
            <v>0.29898646077216529</v>
          </cell>
          <cell r="AC58">
            <v>5.3086826347305385</v>
          </cell>
          <cell r="AD58">
            <v>1.4246506986027943</v>
          </cell>
          <cell r="AE58">
            <v>0.35136077307864438</v>
          </cell>
          <cell r="AF58">
            <v>0.92163110094899403</v>
          </cell>
          <cell r="AG58">
            <v>56.335090735434576</v>
          </cell>
          <cell r="AH58">
            <v>44.411041069723019</v>
          </cell>
        </row>
        <row r="59">
          <cell r="E59" t="str">
            <v>Spaß- und Freizeitbad</v>
          </cell>
          <cell r="F59" t="str">
            <v>Leisure and Fun Pool</v>
          </cell>
          <cell r="G59">
            <v>7.684164278892073</v>
          </cell>
          <cell r="H59">
            <v>20.232511938872971</v>
          </cell>
          <cell r="I59">
            <v>12.548347659980898</v>
          </cell>
          <cell r="J59">
            <v>266.23350981723416</v>
          </cell>
          <cell r="K59">
            <v>2606.0970391595033</v>
          </cell>
          <cell r="L59">
            <v>734.69360076408782</v>
          </cell>
          <cell r="M59">
            <v>14.548347659980896</v>
          </cell>
          <cell r="N59">
            <v>266.23350981723416</v>
          </cell>
          <cell r="O59">
            <v>14.548347659980896</v>
          </cell>
          <cell r="P59">
            <v>234.66249356833396</v>
          </cell>
          <cell r="Q59">
            <v>0.73014403887314161</v>
          </cell>
          <cell r="R59">
            <v>0.9898142199949459</v>
          </cell>
          <cell r="S59">
            <v>0.48432348007173015</v>
          </cell>
          <cell r="T59">
            <v>1.5651493516576189</v>
          </cell>
          <cell r="U59">
            <v>0.99924646753112301</v>
          </cell>
          <cell r="V59">
            <v>1.1721859748578942</v>
          </cell>
          <cell r="W59">
            <v>20.421436248108552</v>
          </cell>
          <cell r="X59">
            <v>24.597418808779338</v>
          </cell>
          <cell r="Y59">
            <v>3.9999999999999996</v>
          </cell>
          <cell r="Z59">
            <v>20.099800399201591</v>
          </cell>
          <cell r="AA59">
            <v>26.335329341317358</v>
          </cell>
          <cell r="AB59">
            <v>0.29898646077216529</v>
          </cell>
          <cell r="AC59">
            <v>5.3086826347305385</v>
          </cell>
          <cell r="AD59">
            <v>1.4246506986027943</v>
          </cell>
          <cell r="AE59">
            <v>0.35136077307864438</v>
          </cell>
          <cell r="AF59">
            <v>0.92163110094899403</v>
          </cell>
          <cell r="AG59">
            <v>56.335090735434576</v>
          </cell>
          <cell r="AH59">
            <v>44.411041069723019</v>
          </cell>
        </row>
        <row r="60">
          <cell r="E60" t="str">
            <v>Thermalbad</v>
          </cell>
          <cell r="F60" t="str">
            <v>Thermal Bath</v>
          </cell>
          <cell r="G60">
            <v>7.684164278892073</v>
          </cell>
          <cell r="H60">
            <v>20.232511938872971</v>
          </cell>
          <cell r="I60">
            <v>12.548347659980898</v>
          </cell>
          <cell r="J60">
            <v>266.23350981723416</v>
          </cell>
          <cell r="K60">
            <v>2606.0970391595033</v>
          </cell>
          <cell r="L60">
            <v>734.69360076408782</v>
          </cell>
          <cell r="M60">
            <v>14.548347659980896</v>
          </cell>
          <cell r="N60">
            <v>266.23350981723416</v>
          </cell>
          <cell r="O60">
            <v>14.548347659980896</v>
          </cell>
          <cell r="P60">
            <v>234.66249356833396</v>
          </cell>
          <cell r="Q60">
            <v>0.73014403887314161</v>
          </cell>
          <cell r="R60">
            <v>0.9898142199949459</v>
          </cell>
          <cell r="S60">
            <v>0.48432348007173015</v>
          </cell>
          <cell r="T60">
            <v>1.5651493516576189</v>
          </cell>
          <cell r="U60">
            <v>0.99924646753112301</v>
          </cell>
          <cell r="V60">
            <v>1.1721859748578942</v>
          </cell>
          <cell r="W60">
            <v>20.421436248108552</v>
          </cell>
          <cell r="X60">
            <v>24.597418808779338</v>
          </cell>
          <cell r="Y60">
            <v>3.9999999999999996</v>
          </cell>
          <cell r="Z60">
            <v>20.099800399201591</v>
          </cell>
          <cell r="AA60">
            <v>26.335329341317358</v>
          </cell>
          <cell r="AB60">
            <v>0.29898646077216529</v>
          </cell>
          <cell r="AC60">
            <v>5.3086826347305385</v>
          </cell>
          <cell r="AD60">
            <v>1.4246506986027943</v>
          </cell>
          <cell r="AE60">
            <v>0.35136077307864438</v>
          </cell>
          <cell r="AF60">
            <v>0.92163110094899403</v>
          </cell>
          <cell r="AG60">
            <v>56.335090735434576</v>
          </cell>
          <cell r="AH60">
            <v>44.411041069723019</v>
          </cell>
        </row>
        <row r="61">
          <cell r="E61" t="str">
            <v>Hallenbad mit Freibadanlage</v>
          </cell>
          <cell r="F61" t="str">
            <v>Indoor Swimming Pool with Outdoor Facility</v>
          </cell>
          <cell r="G61">
            <v>7.684164278892073</v>
          </cell>
          <cell r="H61">
            <v>20.232511938872971</v>
          </cell>
          <cell r="I61">
            <v>12.548347659980898</v>
          </cell>
          <cell r="J61">
            <v>266.23350981723416</v>
          </cell>
          <cell r="K61">
            <v>2606.0970391595033</v>
          </cell>
          <cell r="L61">
            <v>734.69360076408782</v>
          </cell>
          <cell r="M61">
            <v>14.548347659980896</v>
          </cell>
          <cell r="N61">
            <v>266.23350981723416</v>
          </cell>
          <cell r="O61">
            <v>14.548347659980896</v>
          </cell>
          <cell r="P61">
            <v>234.66249356833396</v>
          </cell>
          <cell r="Q61">
            <v>0.73014403887314161</v>
          </cell>
          <cell r="R61">
            <v>0.9898142199949459</v>
          </cell>
          <cell r="S61">
            <v>0.48432348007173015</v>
          </cell>
          <cell r="T61">
            <v>1.5651493516576189</v>
          </cell>
          <cell r="U61">
            <v>0.99924646753112301</v>
          </cell>
          <cell r="V61">
            <v>1.1721859748578942</v>
          </cell>
          <cell r="W61">
            <v>20.421436248108552</v>
          </cell>
          <cell r="X61">
            <v>24.597418808779338</v>
          </cell>
          <cell r="Y61">
            <v>3.9999999999999996</v>
          </cell>
          <cell r="Z61">
            <v>20.099800399201591</v>
          </cell>
          <cell r="AA61">
            <v>26.335329341317358</v>
          </cell>
          <cell r="AB61">
            <v>0.29898646077216529</v>
          </cell>
          <cell r="AC61">
            <v>5.3086826347305385</v>
          </cell>
          <cell r="AD61">
            <v>1.4246506986027943</v>
          </cell>
          <cell r="AE61">
            <v>0.35136077307864438</v>
          </cell>
          <cell r="AF61">
            <v>0.92163110094899403</v>
          </cell>
          <cell r="AG61">
            <v>56.335090735434576</v>
          </cell>
          <cell r="AH61">
            <v>44.411041069723019</v>
          </cell>
        </row>
        <row r="62">
          <cell r="E62" t="str">
            <v>Kegelbahn/Bowling</v>
          </cell>
          <cell r="F62" t="str">
            <v>Bowling Alley/Bowling</v>
          </cell>
          <cell r="G62">
            <v>7.7024756903875389</v>
          </cell>
          <cell r="H62">
            <v>20.794552947396557</v>
          </cell>
          <cell r="I62">
            <v>13.092077257009018</v>
          </cell>
          <cell r="J62">
            <v>257.47656417383888</v>
          </cell>
          <cell r="K62">
            <v>2549.3219261010945</v>
          </cell>
          <cell r="L62">
            <v>821.65595447110354</v>
          </cell>
          <cell r="M62">
            <v>15.092077257009016</v>
          </cell>
          <cell r="N62">
            <v>257.47656417383888</v>
          </cell>
          <cell r="O62">
            <v>15.092077257009016</v>
          </cell>
          <cell r="P62">
            <v>256.47834588179956</v>
          </cell>
          <cell r="Q62">
            <v>0.81491026554166601</v>
          </cell>
          <cell r="R62">
            <v>0.99447025781446963</v>
          </cell>
          <cell r="S62">
            <v>0.45225483205712969</v>
          </cell>
          <cell r="T62">
            <v>1.7044564406388747</v>
          </cell>
          <cell r="U62">
            <v>0.99625680094934166</v>
          </cell>
          <cell r="V62">
            <v>1.0790087035692613</v>
          </cell>
          <cell r="W62">
            <v>19.817021061165661</v>
          </cell>
          <cell r="X62">
            <v>24.016123238545916</v>
          </cell>
          <cell r="Y62">
            <v>3.9824662977732097</v>
          </cell>
          <cell r="Z62">
            <v>19.929825536196095</v>
          </cell>
          <cell r="AA62">
            <v>26.009234889712044</v>
          </cell>
          <cell r="AB62">
            <v>0.1526981256463977</v>
          </cell>
          <cell r="AC62">
            <v>4.9043560898461909</v>
          </cell>
          <cell r="AD62">
            <v>1.5100303539580187</v>
          </cell>
          <cell r="AE62">
            <v>0.40688161554339869</v>
          </cell>
          <cell r="AF62">
            <v>0.92070152264551486</v>
          </cell>
          <cell r="AG62">
            <v>55.840091738737733</v>
          </cell>
          <cell r="AH62">
            <v>11.151779822141952</v>
          </cell>
        </row>
        <row r="63">
          <cell r="E63" t="str">
            <v>Schießstand</v>
          </cell>
          <cell r="F63" t="str">
            <v>Shooting Range</v>
          </cell>
          <cell r="G63">
            <v>7.7024756903875389</v>
          </cell>
          <cell r="H63">
            <v>20.794552947396557</v>
          </cell>
          <cell r="I63">
            <v>13.092077257009018</v>
          </cell>
          <cell r="J63">
            <v>257.47656417383888</v>
          </cell>
          <cell r="K63">
            <v>2549.3219261010945</v>
          </cell>
          <cell r="L63">
            <v>821.65595447110354</v>
          </cell>
          <cell r="M63">
            <v>15.092077257009016</v>
          </cell>
          <cell r="N63">
            <v>257.47656417383888</v>
          </cell>
          <cell r="O63">
            <v>15.092077257009016</v>
          </cell>
          <cell r="P63">
            <v>256.47834588179956</v>
          </cell>
          <cell r="Q63">
            <v>0.81491026554166601</v>
          </cell>
          <cell r="R63">
            <v>0.99447025781446963</v>
          </cell>
          <cell r="S63">
            <v>0.45225483205712969</v>
          </cell>
          <cell r="T63">
            <v>1.7044564406388747</v>
          </cell>
          <cell r="U63">
            <v>0.99625680094934166</v>
          </cell>
          <cell r="V63">
            <v>1.0790087035692613</v>
          </cell>
          <cell r="W63">
            <v>19.817021061165661</v>
          </cell>
          <cell r="X63">
            <v>24.016123238545916</v>
          </cell>
          <cell r="Y63">
            <v>3.9824662977732097</v>
          </cell>
          <cell r="Z63">
            <v>19.929825536196095</v>
          </cell>
          <cell r="AA63">
            <v>26.009234889712044</v>
          </cell>
          <cell r="AB63">
            <v>0.1526981256463977</v>
          </cell>
          <cell r="AC63">
            <v>4.9043560898461909</v>
          </cell>
          <cell r="AD63">
            <v>1.5100303539580187</v>
          </cell>
          <cell r="AE63">
            <v>0.40688161554339869</v>
          </cell>
          <cell r="AF63">
            <v>0.92070152264551486</v>
          </cell>
          <cell r="AG63">
            <v>55.840091738737733</v>
          </cell>
          <cell r="AH63">
            <v>11.151779822141952</v>
          </cell>
        </row>
        <row r="64">
          <cell r="E64" t="str">
            <v>Raumschießanlage</v>
          </cell>
          <cell r="F64" t="str">
            <v>Indoor Shooting Facility</v>
          </cell>
          <cell r="G64">
            <v>7.7024756903875389</v>
          </cell>
          <cell r="H64">
            <v>20.794552947396557</v>
          </cell>
          <cell r="I64">
            <v>13.092077257009018</v>
          </cell>
          <cell r="J64">
            <v>257.47656417383888</v>
          </cell>
          <cell r="K64">
            <v>2549.3219261010945</v>
          </cell>
          <cell r="L64">
            <v>821.65595447110354</v>
          </cell>
          <cell r="M64">
            <v>15.092077257009016</v>
          </cell>
          <cell r="N64">
            <v>257.47656417383888</v>
          </cell>
          <cell r="O64">
            <v>15.092077257009016</v>
          </cell>
          <cell r="P64">
            <v>256.47834588179956</v>
          </cell>
          <cell r="Q64">
            <v>0.81491026554166601</v>
          </cell>
          <cell r="R64">
            <v>0.99447025781446963</v>
          </cell>
          <cell r="S64">
            <v>0.45225483205712969</v>
          </cell>
          <cell r="T64">
            <v>1.7044564406388747</v>
          </cell>
          <cell r="U64">
            <v>0.99625680094934166</v>
          </cell>
          <cell r="V64">
            <v>1.0790087035692613</v>
          </cell>
          <cell r="W64">
            <v>19.817021061165661</v>
          </cell>
          <cell r="X64">
            <v>24.016123238545916</v>
          </cell>
          <cell r="Y64">
            <v>3.9824662977732097</v>
          </cell>
          <cell r="Z64">
            <v>19.929825536196095</v>
          </cell>
          <cell r="AA64">
            <v>26.009234889712044</v>
          </cell>
          <cell r="AB64">
            <v>0.1526981256463977</v>
          </cell>
          <cell r="AC64">
            <v>4.9043560898461909</v>
          </cell>
          <cell r="AD64">
            <v>1.5100303539580187</v>
          </cell>
          <cell r="AE64">
            <v>0.40688161554339869</v>
          </cell>
          <cell r="AF64">
            <v>0.92070152264551486</v>
          </cell>
          <cell r="AG64">
            <v>55.840091738737733</v>
          </cell>
          <cell r="AH64">
            <v>11.151779822141952</v>
          </cell>
        </row>
        <row r="65">
          <cell r="E65" t="str">
            <v>Reithalle</v>
          </cell>
          <cell r="F65" t="str">
            <v>Riding Hall</v>
          </cell>
          <cell r="G65">
            <v>2.4412736995624704</v>
          </cell>
          <cell r="H65">
            <v>21.812980068060284</v>
          </cell>
          <cell r="I65">
            <v>19.371706368497815</v>
          </cell>
          <cell r="J65">
            <v>342.81115215638243</v>
          </cell>
          <cell r="K65">
            <v>3729.9864203532661</v>
          </cell>
          <cell r="L65">
            <v>2910.8505590666027</v>
          </cell>
          <cell r="M65">
            <v>20.038032733754662</v>
          </cell>
          <cell r="N65">
            <v>342.84963209829448</v>
          </cell>
          <cell r="O65">
            <v>20.038032733754662</v>
          </cell>
          <cell r="P65">
            <v>165.71261506339152</v>
          </cell>
          <cell r="Q65">
            <v>0.14519820516166593</v>
          </cell>
          <cell r="R65">
            <v>0.99147292852434443</v>
          </cell>
          <cell r="S65">
            <v>0.60901718882274791</v>
          </cell>
          <cell r="T65">
            <v>2.2320642062926415</v>
          </cell>
          <cell r="U65">
            <v>0.50447412976774841</v>
          </cell>
          <cell r="V65">
            <v>1.7321909809708322</v>
          </cell>
          <cell r="W65">
            <v>13.618127566026562</v>
          </cell>
          <cell r="X65">
            <v>25.692970216524959</v>
          </cell>
          <cell r="Y65">
            <v>0.76716623669514172</v>
          </cell>
          <cell r="Z65">
            <v>15.214430894308942</v>
          </cell>
          <cell r="AA65">
            <v>27.337398373983739</v>
          </cell>
          <cell r="AB65">
            <v>5.6175696068688372E-2</v>
          </cell>
          <cell r="AC65">
            <v>1.8838922764227641</v>
          </cell>
          <cell r="AD65">
            <v>0.3902439024390244</v>
          </cell>
          <cell r="AE65">
            <v>2.687238378221022E-2</v>
          </cell>
          <cell r="AF65">
            <v>0.98747226934620902</v>
          </cell>
          <cell r="AG65">
            <v>7.9120725976340962</v>
          </cell>
          <cell r="AH65">
            <v>20.636914600550966</v>
          </cell>
        </row>
        <row r="66">
          <cell r="E66" t="str">
            <v>Eissporthalle</v>
          </cell>
          <cell r="F66" t="str">
            <v>Ice Skating Rink</v>
          </cell>
          <cell r="G66">
            <v>2.4412736995624704</v>
          </cell>
          <cell r="H66">
            <v>21.812980068060284</v>
          </cell>
          <cell r="I66">
            <v>19.371706368497815</v>
          </cell>
          <cell r="J66">
            <v>342.81115215638243</v>
          </cell>
          <cell r="K66">
            <v>3729.9864203532661</v>
          </cell>
          <cell r="L66">
            <v>2910.8505590666027</v>
          </cell>
          <cell r="M66">
            <v>20.038032733754662</v>
          </cell>
          <cell r="N66">
            <v>342.84963209829448</v>
          </cell>
          <cell r="O66">
            <v>20.038032733754662</v>
          </cell>
          <cell r="P66">
            <v>165.71261506339152</v>
          </cell>
          <cell r="Q66">
            <v>0.14519820516166593</v>
          </cell>
          <cell r="R66">
            <v>0.99147292852434443</v>
          </cell>
          <cell r="S66">
            <v>0.60901718882274791</v>
          </cell>
          <cell r="T66">
            <v>2.2320642062926415</v>
          </cell>
          <cell r="U66">
            <v>0.50447412976774841</v>
          </cell>
          <cell r="V66">
            <v>1.7321909809708322</v>
          </cell>
          <cell r="W66">
            <v>13.618127566026562</v>
          </cell>
          <cell r="X66">
            <v>25.692970216524959</v>
          </cell>
          <cell r="Y66">
            <v>0.76716623669514172</v>
          </cell>
          <cell r="Z66">
            <v>15.214430894308942</v>
          </cell>
          <cell r="AA66">
            <v>27.337398373983739</v>
          </cell>
          <cell r="AB66">
            <v>5.6175696068688372E-2</v>
          </cell>
          <cell r="AC66">
            <v>1.8838922764227641</v>
          </cell>
          <cell r="AD66">
            <v>0.3902439024390244</v>
          </cell>
          <cell r="AE66">
            <v>2.687238378221022E-2</v>
          </cell>
          <cell r="AF66">
            <v>0.98747226934620902</v>
          </cell>
          <cell r="AG66">
            <v>7.9120725976340962</v>
          </cell>
          <cell r="AH66">
            <v>20.636914600550966</v>
          </cell>
        </row>
        <row r="67">
          <cell r="E67" t="str">
            <v>Tennishalle</v>
          </cell>
          <cell r="F67" t="str">
            <v>Tennis Hall</v>
          </cell>
          <cell r="G67">
            <v>7.7024756903875389</v>
          </cell>
          <cell r="H67">
            <v>20.794552947396557</v>
          </cell>
          <cell r="I67">
            <v>13.092077257009018</v>
          </cell>
          <cell r="J67">
            <v>257.47656417383888</v>
          </cell>
          <cell r="K67">
            <v>2549.3219261010945</v>
          </cell>
          <cell r="L67">
            <v>821.65595447110354</v>
          </cell>
          <cell r="M67">
            <v>15.092077257009016</v>
          </cell>
          <cell r="N67">
            <v>257.47656417383888</v>
          </cell>
          <cell r="O67">
            <v>15.092077257009016</v>
          </cell>
          <cell r="P67">
            <v>256.47834588179956</v>
          </cell>
          <cell r="Q67">
            <v>0.81491026554166601</v>
          </cell>
          <cell r="R67">
            <v>0.99447025781446963</v>
          </cell>
          <cell r="S67">
            <v>0.45225483205712969</v>
          </cell>
          <cell r="T67">
            <v>1.7044564406388747</v>
          </cell>
          <cell r="U67">
            <v>0.99625680094934166</v>
          </cell>
          <cell r="V67">
            <v>1.0790087035692613</v>
          </cell>
          <cell r="W67">
            <v>19.817021061165661</v>
          </cell>
          <cell r="X67">
            <v>24.016123238545916</v>
          </cell>
          <cell r="Y67">
            <v>3.9824662977732097</v>
          </cell>
          <cell r="Z67">
            <v>19.929825536196095</v>
          </cell>
          <cell r="AA67">
            <v>26.009234889712044</v>
          </cell>
          <cell r="AB67">
            <v>0.1526981256463977</v>
          </cell>
          <cell r="AC67">
            <v>4.9043560898461909</v>
          </cell>
          <cell r="AD67">
            <v>1.5100303539580187</v>
          </cell>
          <cell r="AE67">
            <v>0.40688161554339869</v>
          </cell>
          <cell r="AF67">
            <v>0.92070152264551486</v>
          </cell>
          <cell r="AG67">
            <v>55.840091738737733</v>
          </cell>
          <cell r="AH67">
            <v>11.151779822141952</v>
          </cell>
        </row>
        <row r="68">
          <cell r="E68" t="str">
            <v>Fitnessstudio</v>
          </cell>
          <cell r="F68" t="str">
            <v>Fitness Studio</v>
          </cell>
          <cell r="G68">
            <v>7.7101524827316563</v>
          </cell>
          <cell r="H68">
            <v>20.943698683696081</v>
          </cell>
          <cell r="I68">
            <v>13.233546200964422</v>
          </cell>
          <cell r="J68">
            <v>323.67580583212697</v>
          </cell>
          <cell r="K68">
            <v>3158.6992050045619</v>
          </cell>
          <cell r="L68">
            <v>1124.6795256092794</v>
          </cell>
          <cell r="M68">
            <v>15.260426169685912</v>
          </cell>
          <cell r="N68">
            <v>323.67580583212697</v>
          </cell>
          <cell r="O68">
            <v>15.233546200964422</v>
          </cell>
          <cell r="P68">
            <v>285.68460030923472</v>
          </cell>
          <cell r="Q68">
            <v>0.28326735013442844</v>
          </cell>
          <cell r="R68">
            <v>0.98909492224815598</v>
          </cell>
          <cell r="S68">
            <v>0.1974596468421623</v>
          </cell>
          <cell r="T68">
            <v>1.7504388621345073</v>
          </cell>
          <cell r="U68">
            <v>0.99715632109197272</v>
          </cell>
          <cell r="V68">
            <v>1.078675116455422</v>
          </cell>
          <cell r="W68">
            <v>20.48219684659399</v>
          </cell>
          <cell r="X68">
            <v>24.069016456406771</v>
          </cell>
          <cell r="Y68">
            <v>3.8104214061315131</v>
          </cell>
          <cell r="Z68">
            <v>19.145708582834331</v>
          </cell>
          <cell r="AA68">
            <v>26.047904191616766</v>
          </cell>
          <cell r="AB68">
            <v>0.81042140613151337</v>
          </cell>
          <cell r="AC68">
            <v>10.958283433133733</v>
          </cell>
          <cell r="AD68">
            <v>2.1382235528942113</v>
          </cell>
          <cell r="AE68">
            <v>0.41244546537851706</v>
          </cell>
          <cell r="AF68">
            <v>0.91202691523621005</v>
          </cell>
          <cell r="AG68">
            <v>157.82927147139321</v>
          </cell>
          <cell r="AH68">
            <v>72.104783005343421</v>
          </cell>
        </row>
        <row r="69">
          <cell r="E69" t="str">
            <v>Gebäude für Sportaußenanlage (Tribünen-, Umkleidegebäude)</v>
          </cell>
          <cell r="F69" t="str">
            <v>Building for Outdoor Sports Facility (Grandstand, Changing Room Building)</v>
          </cell>
          <cell r="G69">
            <v>7.0382487137171132</v>
          </cell>
          <cell r="H69">
            <v>18.781341617318706</v>
          </cell>
          <cell r="I69">
            <v>11.743092903601596</v>
          </cell>
          <cell r="J69">
            <v>269.93627940505399</v>
          </cell>
          <cell r="K69">
            <v>2525.2973303562762</v>
          </cell>
          <cell r="L69">
            <v>644.58947674983006</v>
          </cell>
          <cell r="M69">
            <v>14.161129987379868</v>
          </cell>
          <cell r="N69">
            <v>269.93627940505399</v>
          </cell>
          <cell r="O69">
            <v>14.022308513736531</v>
          </cell>
          <cell r="P69">
            <v>230.53909541224942</v>
          </cell>
          <cell r="Q69">
            <v>0.74279233104287501</v>
          </cell>
          <cell r="R69">
            <v>0.9802996885064843</v>
          </cell>
          <cell r="S69">
            <v>0.56759409286607099</v>
          </cell>
          <cell r="T69">
            <v>1.3409771869027225</v>
          </cell>
          <cell r="U69">
            <v>0.9662699147526238</v>
          </cell>
          <cell r="V69">
            <v>1.0691105570509301</v>
          </cell>
          <cell r="W69">
            <v>21.156532104995136</v>
          </cell>
          <cell r="X69">
            <v>24.06952059097793</v>
          </cell>
          <cell r="Y69">
            <v>3.6587657978797274</v>
          </cell>
          <cell r="Z69">
            <v>20.030549898167006</v>
          </cell>
          <cell r="AA69">
            <v>26.036659877800403</v>
          </cell>
          <cell r="AB69">
            <v>0.52391423677475246</v>
          </cell>
          <cell r="AC69">
            <v>10.461507128309572</v>
          </cell>
          <cell r="AD69">
            <v>2.4014765784114056</v>
          </cell>
          <cell r="AE69">
            <v>0.38335361458133549</v>
          </cell>
          <cell r="AF69">
            <v>0.88953388401330613</v>
          </cell>
          <cell r="AG69">
            <v>59.274012231822155</v>
          </cell>
          <cell r="AH69">
            <v>49.697349771866811</v>
          </cell>
        </row>
        <row r="70">
          <cell r="E70" t="str">
            <v/>
          </cell>
          <cell r="G70">
            <v>4.6803884818538082</v>
          </cell>
          <cell r="H70">
            <v>16.524331231896404</v>
          </cell>
          <cell r="I70">
            <v>11.843942750042597</v>
          </cell>
          <cell r="J70">
            <v>304.49549790611997</v>
          </cell>
          <cell r="K70">
            <v>1954.0817515760773</v>
          </cell>
          <cell r="L70">
            <v>1652.3454932697223</v>
          </cell>
          <cell r="M70">
            <v>17.241557335150794</v>
          </cell>
          <cell r="N70">
            <v>304.56167343527244</v>
          </cell>
          <cell r="O70">
            <v>17.241557335150794</v>
          </cell>
          <cell r="P70">
            <v>220.41558232307762</v>
          </cell>
          <cell r="Q70">
            <v>0.73969337712427041</v>
          </cell>
          <cell r="R70">
            <v>0.99056336954285662</v>
          </cell>
          <cell r="S70">
            <v>0.43811365215552406</v>
          </cell>
          <cell r="T70">
            <v>1.5633573147696587</v>
          </cell>
          <cell r="U70">
            <v>0.77619867620169736</v>
          </cell>
          <cell r="V70">
            <v>1.0579467459622138</v>
          </cell>
          <cell r="W70">
            <v>21.032695027196706</v>
          </cell>
          <cell r="X70">
            <v>24.030245094019605</v>
          </cell>
          <cell r="Y70">
            <v>2.6973318314365415</v>
          </cell>
          <cell r="Z70">
            <v>20.003015075376879</v>
          </cell>
          <cell r="AA70">
            <v>26.018090452261305</v>
          </cell>
          <cell r="AB70">
            <v>0.72094354795783766</v>
          </cell>
          <cell r="AC70">
            <v>11.829547738693465</v>
          </cell>
          <cell r="AD70">
            <v>1.7532663316582913</v>
          </cell>
          <cell r="AE70">
            <v>0.37665169085669969</v>
          </cell>
          <cell r="AF70">
            <v>0.76108173972588944</v>
          </cell>
          <cell r="AG70">
            <v>87.5646277048901</v>
          </cell>
          <cell r="AH70">
            <v>115.09054353382174</v>
          </cell>
        </row>
        <row r="71">
          <cell r="E71" t="str">
            <v>Herberge, Ferienheim, Ferienhaus, Hotel/Pension einfach</v>
          </cell>
          <cell r="F71" t="str">
            <v>Hostel, Holiday Home, Vacation House, Simple Hotel/Inn</v>
          </cell>
          <cell r="G71">
            <v>2.0849447580562068</v>
          </cell>
          <cell r="H71">
            <v>13.622961187204432</v>
          </cell>
          <cell r="I71">
            <v>11.538016429148225</v>
          </cell>
          <cell r="J71">
            <v>318.78623142129828</v>
          </cell>
          <cell r="K71">
            <v>1654.5019911226996</v>
          </cell>
          <cell r="L71">
            <v>2022.8043747678769</v>
          </cell>
          <cell r="M71">
            <v>19.078770390798905</v>
          </cell>
          <cell r="N71">
            <v>318.78623142129828</v>
          </cell>
          <cell r="O71">
            <v>19.064067761742677</v>
          </cell>
          <cell r="P71">
            <v>206.06034028022665</v>
          </cell>
          <cell r="Q71">
            <v>0.7170107165481413</v>
          </cell>
          <cell r="R71">
            <v>0.99270506291374916</v>
          </cell>
          <cell r="S71">
            <v>0.54922952916409695</v>
          </cell>
          <cell r="T71">
            <v>1.3367739827705531</v>
          </cell>
          <cell r="U71">
            <v>0.62979248919806585</v>
          </cell>
          <cell r="V71">
            <v>1.0487274416786074</v>
          </cell>
          <cell r="W71">
            <v>21.055954474012164</v>
          </cell>
          <cell r="X71">
            <v>24.039445607402435</v>
          </cell>
          <cell r="Y71">
            <v>1.8448890506644646</v>
          </cell>
          <cell r="Z71">
            <v>20.003138121033029</v>
          </cell>
          <cell r="AA71">
            <v>26.023952375558757</v>
          </cell>
          <cell r="AB71">
            <v>0.69128621944404745</v>
          </cell>
          <cell r="AC71">
            <v>6.5352055290967259</v>
          </cell>
          <cell r="AD71">
            <v>1.7051965280060493</v>
          </cell>
          <cell r="AE71">
            <v>0.36929165677109355</v>
          </cell>
          <cell r="AF71">
            <v>0.70289803221272096</v>
          </cell>
          <cell r="AG71">
            <v>65.36905794030487</v>
          </cell>
          <cell r="AH71">
            <v>60.656898705888324</v>
          </cell>
        </row>
        <row r="72">
          <cell r="E72" t="str">
            <v>Sterne-Hotel</v>
          </cell>
          <cell r="F72" t="str">
            <v>Star-Rated Hotel</v>
          </cell>
          <cell r="G72">
            <v>2.3159709355717024</v>
          </cell>
          <cell r="H72">
            <v>13.650501860832296</v>
          </cell>
          <cell r="I72">
            <v>11.334530925260596</v>
          </cell>
          <cell r="J72">
            <v>321.24840978901898</v>
          </cell>
          <cell r="K72">
            <v>1685.9268072628845</v>
          </cell>
          <cell r="L72">
            <v>1955.2732281815397</v>
          </cell>
          <cell r="M72">
            <v>18.8669545183586</v>
          </cell>
          <cell r="N72">
            <v>321.24840978901898</v>
          </cell>
          <cell r="O72">
            <v>18.8669545183586</v>
          </cell>
          <cell r="P72">
            <v>200.66479702866854</v>
          </cell>
          <cell r="Q72">
            <v>0.64462768097133993</v>
          </cell>
          <cell r="R72">
            <v>0.99287761736290048</v>
          </cell>
          <cell r="S72">
            <v>0.54770831941528553</v>
          </cell>
          <cell r="T72">
            <v>1.3033632162701148</v>
          </cell>
          <cell r="U72">
            <v>0.65484312524252919</v>
          </cell>
          <cell r="V72">
            <v>1.0680148339144562</v>
          </cell>
          <cell r="W72">
            <v>21.159433309216617</v>
          </cell>
          <cell r="X72">
            <v>24.498064739887674</v>
          </cell>
          <cell r="Y72">
            <v>2.0177819346346877</v>
          </cell>
          <cell r="Z72">
            <v>20.104104104104096</v>
          </cell>
          <cell r="AA72">
            <v>26.30030030030029</v>
          </cell>
          <cell r="AB72">
            <v>0.73781383124645517</v>
          </cell>
          <cell r="AC72">
            <v>5.539139139139138</v>
          </cell>
          <cell r="AD72">
            <v>1.3998998998998995</v>
          </cell>
          <cell r="AE72">
            <v>0.34290918704861101</v>
          </cell>
          <cell r="AF72">
            <v>0.71919112807967878</v>
          </cell>
          <cell r="AG72">
            <v>62.58728189595449</v>
          </cell>
          <cell r="AH72">
            <v>81.727303484831396</v>
          </cell>
        </row>
        <row r="73">
          <cell r="E73" t="str">
            <v>Ausschankwirtschaft</v>
          </cell>
          <cell r="F73" t="str">
            <v>Tavern</v>
          </cell>
          <cell r="G73">
            <v>8.6921519155228921</v>
          </cell>
          <cell r="H73">
            <v>21.147192857063317</v>
          </cell>
          <cell r="I73">
            <v>12.455040941540428</v>
          </cell>
          <cell r="J73">
            <v>284.33620566514446</v>
          </cell>
          <cell r="K73">
            <v>2407.544767150227</v>
          </cell>
          <cell r="L73">
            <v>1134.2878599414551</v>
          </cell>
          <cell r="M73">
            <v>14.622865744930523</v>
          </cell>
          <cell r="N73">
            <v>284.4024191850242</v>
          </cell>
          <cell r="O73">
            <v>14.622865744930523</v>
          </cell>
          <cell r="P73">
            <v>239.02207468480836</v>
          </cell>
          <cell r="Q73">
            <v>0.77290073633121659</v>
          </cell>
          <cell r="R73">
            <v>0.98805799816159523</v>
          </cell>
          <cell r="S73">
            <v>0.27730966393928874</v>
          </cell>
          <cell r="T73">
            <v>1.9098329094973154</v>
          </cell>
          <cell r="U73">
            <v>0.98553176776139884</v>
          </cell>
          <cell r="V73">
            <v>1.0659145568180313</v>
          </cell>
          <cell r="W73">
            <v>20.96039736656035</v>
          </cell>
          <cell r="X73">
            <v>24.002843593500618</v>
          </cell>
          <cell r="Y73">
            <v>3.9363300563258026</v>
          </cell>
          <cell r="Z73">
            <v>19.995606289445156</v>
          </cell>
          <cell r="AA73">
            <v>26.001098427638713</v>
          </cell>
          <cell r="AB73">
            <v>0.77452765373715093</v>
          </cell>
          <cell r="AC73">
            <v>18.722985776540277</v>
          </cell>
          <cell r="AD73">
            <v>1.8688309884992347</v>
          </cell>
          <cell r="AE73">
            <v>0.40315944815449378</v>
          </cell>
          <cell r="AF73">
            <v>0.83214608463062023</v>
          </cell>
          <cell r="AG73">
            <v>124.253510062373</v>
          </cell>
          <cell r="AH73">
            <v>183.82744625385604</v>
          </cell>
        </row>
        <row r="74">
          <cell r="E74" t="str">
            <v>Speisegaststätte (einfach)</v>
          </cell>
          <cell r="F74" t="str">
            <v>Simple Restaurant</v>
          </cell>
          <cell r="G74">
            <v>8.6921519155228921</v>
          </cell>
          <cell r="H74">
            <v>21.147192857063317</v>
          </cell>
          <cell r="I74">
            <v>12.455040941540428</v>
          </cell>
          <cell r="J74">
            <v>284.33620566514446</v>
          </cell>
          <cell r="K74">
            <v>2407.544767150227</v>
          </cell>
          <cell r="L74">
            <v>1134.2878599414551</v>
          </cell>
          <cell r="M74">
            <v>14.622865744930523</v>
          </cell>
          <cell r="N74">
            <v>284.4024191850242</v>
          </cell>
          <cell r="O74">
            <v>14.622865744930523</v>
          </cell>
          <cell r="P74">
            <v>239.02207468480836</v>
          </cell>
          <cell r="Q74">
            <v>0.77290073633121659</v>
          </cell>
          <cell r="R74">
            <v>0.98805799816159523</v>
          </cell>
          <cell r="S74">
            <v>0.27730966393928874</v>
          </cell>
          <cell r="T74">
            <v>1.9098329094973154</v>
          </cell>
          <cell r="U74">
            <v>0.98553176776139884</v>
          </cell>
          <cell r="V74">
            <v>1.0659145568180313</v>
          </cell>
          <cell r="W74">
            <v>20.96039736656035</v>
          </cell>
          <cell r="X74">
            <v>24.002843593500618</v>
          </cell>
          <cell r="Y74">
            <v>3.9363300563258026</v>
          </cell>
          <cell r="Z74">
            <v>19.995606289445156</v>
          </cell>
          <cell r="AA74">
            <v>26.001098427638713</v>
          </cell>
          <cell r="AB74">
            <v>0.77452765373715093</v>
          </cell>
          <cell r="AC74">
            <v>18.722985776540277</v>
          </cell>
          <cell r="AD74">
            <v>1.8688309884992347</v>
          </cell>
          <cell r="AE74">
            <v>0.40315944815449378</v>
          </cell>
          <cell r="AF74">
            <v>0.83214608463062023</v>
          </cell>
          <cell r="AG74">
            <v>124.253510062373</v>
          </cell>
          <cell r="AH74">
            <v>183.82744625385604</v>
          </cell>
        </row>
        <row r="75">
          <cell r="E75" t="str">
            <v>Restaurant (gehoben)</v>
          </cell>
          <cell r="F75" t="str">
            <v>Upscale Restaurant</v>
          </cell>
          <cell r="G75">
            <v>8.6921519155228921</v>
          </cell>
          <cell r="H75">
            <v>21.147192857063317</v>
          </cell>
          <cell r="I75">
            <v>12.455040941540428</v>
          </cell>
          <cell r="J75">
            <v>284.33620566514446</v>
          </cell>
          <cell r="K75">
            <v>2407.544767150227</v>
          </cell>
          <cell r="L75">
            <v>1134.2878599414551</v>
          </cell>
          <cell r="M75">
            <v>14.622865744930523</v>
          </cell>
          <cell r="N75">
            <v>284.4024191850242</v>
          </cell>
          <cell r="O75">
            <v>14.622865744930523</v>
          </cell>
          <cell r="P75">
            <v>239.02207468480836</v>
          </cell>
          <cell r="Q75">
            <v>0.77290073633121659</v>
          </cell>
          <cell r="R75">
            <v>0.98805799816159523</v>
          </cell>
          <cell r="S75">
            <v>0.27730966393928874</v>
          </cell>
          <cell r="T75">
            <v>1.9098329094973154</v>
          </cell>
          <cell r="U75">
            <v>0.98553176776139884</v>
          </cell>
          <cell r="V75">
            <v>1.0659145568180313</v>
          </cell>
          <cell r="W75">
            <v>20.96039736656035</v>
          </cell>
          <cell r="X75">
            <v>24.002843593500618</v>
          </cell>
          <cell r="Y75">
            <v>3.9363300563258026</v>
          </cell>
          <cell r="Z75">
            <v>19.995606289445156</v>
          </cell>
          <cell r="AA75">
            <v>26.001098427638713</v>
          </cell>
          <cell r="AB75">
            <v>0.77452765373715093</v>
          </cell>
          <cell r="AC75">
            <v>18.722985776540277</v>
          </cell>
          <cell r="AD75">
            <v>1.8688309884992347</v>
          </cell>
          <cell r="AE75">
            <v>0.40315944815449378</v>
          </cell>
          <cell r="AF75">
            <v>0.83214608463062023</v>
          </cell>
          <cell r="AG75">
            <v>124.253510062373</v>
          </cell>
          <cell r="AH75">
            <v>183.82744625385604</v>
          </cell>
        </row>
        <row r="76">
          <cell r="E76" t="str">
            <v>Mensa/Kantine</v>
          </cell>
          <cell r="F76" t="str">
            <v>Cafeteria/Canteen</v>
          </cell>
          <cell r="G76">
            <v>7.9261280576941839</v>
          </cell>
          <cell r="H76">
            <v>17.548582009550728</v>
          </cell>
          <cell r="I76">
            <v>9.6224539518565457</v>
          </cell>
          <cell r="J76">
            <v>262.20102090422949</v>
          </cell>
          <cell r="K76">
            <v>2171.502680050678</v>
          </cell>
          <cell r="L76">
            <v>351.51456973004582</v>
          </cell>
          <cell r="M76">
            <v>11.608225319169673</v>
          </cell>
          <cell r="N76">
            <v>262.20102090422949</v>
          </cell>
          <cell r="O76">
            <v>11.608225319169673</v>
          </cell>
          <cell r="P76">
            <v>229.81161886242103</v>
          </cell>
          <cell r="Q76">
            <v>0.72670393777345665</v>
          </cell>
          <cell r="R76">
            <v>0.97973877815589039</v>
          </cell>
          <cell r="S76">
            <v>0.43538040836169178</v>
          </cell>
          <cell r="T76">
            <v>1.6804719656457625</v>
          </cell>
          <cell r="U76">
            <v>0.98319640252795326</v>
          </cell>
          <cell r="V76">
            <v>1.1555760816723384</v>
          </cell>
          <cell r="W76">
            <v>20.904180845892078</v>
          </cell>
          <cell r="X76">
            <v>24.021293145357312</v>
          </cell>
          <cell r="Y76">
            <v>3.9574137092853667</v>
          </cell>
          <cell r="Z76">
            <v>19.976000000000003</v>
          </cell>
          <cell r="AA76">
            <v>26.005999999999997</v>
          </cell>
          <cell r="AB76">
            <v>0.59678334143574774</v>
          </cell>
          <cell r="AC76">
            <v>17.420900000000003</v>
          </cell>
          <cell r="AD76">
            <v>1.6525000000000001</v>
          </cell>
          <cell r="AE76">
            <v>0.30266569437692425</v>
          </cell>
          <cell r="AF76">
            <v>0.98132393453249067</v>
          </cell>
          <cell r="AG76">
            <v>88.930591560276795</v>
          </cell>
          <cell r="AH76">
            <v>184.75782087515842</v>
          </cell>
        </row>
        <row r="77">
          <cell r="E77" t="str">
            <v>Gemeinschaftsunterkunft (z.B. Flüchtlingsheim, Kaserne, Kloster)</v>
          </cell>
          <cell r="F77" t="str">
            <v>Collective Accommodation (e.g., Refugee Shelter, Barracks, Monastery)</v>
          </cell>
          <cell r="G77">
            <v>2.0849447580562068</v>
          </cell>
          <cell r="H77">
            <v>13.622961187204432</v>
          </cell>
          <cell r="I77">
            <v>11.538016429148225</v>
          </cell>
          <cell r="J77">
            <v>318.78623142129828</v>
          </cell>
          <cell r="K77">
            <v>1654.5019911226996</v>
          </cell>
          <cell r="L77">
            <v>2022.8043747678769</v>
          </cell>
          <cell r="M77">
            <v>19.078770390798905</v>
          </cell>
          <cell r="N77">
            <v>318.78623142129828</v>
          </cell>
          <cell r="O77">
            <v>19.064067761742677</v>
          </cell>
          <cell r="P77">
            <v>206.06034028022665</v>
          </cell>
          <cell r="Q77">
            <v>0.7170107165481413</v>
          </cell>
          <cell r="R77">
            <v>0.99270506291374916</v>
          </cell>
          <cell r="S77">
            <v>0.54922952916409695</v>
          </cell>
          <cell r="T77">
            <v>1.3367739827705531</v>
          </cell>
          <cell r="U77">
            <v>0.62979248919806585</v>
          </cell>
          <cell r="V77">
            <v>1.0487274416786074</v>
          </cell>
          <cell r="W77">
            <v>21.055954474012164</v>
          </cell>
          <cell r="X77">
            <v>24.039445607402435</v>
          </cell>
          <cell r="Y77">
            <v>1.8448890506644646</v>
          </cell>
          <cell r="Z77">
            <v>20.003138121033029</v>
          </cell>
          <cell r="AA77">
            <v>26.023952375558757</v>
          </cell>
          <cell r="AB77">
            <v>0.69128621944404745</v>
          </cell>
          <cell r="AC77">
            <v>6.5352055290967259</v>
          </cell>
          <cell r="AD77">
            <v>1.7051965280060493</v>
          </cell>
          <cell r="AE77">
            <v>0.36929165677109355</v>
          </cell>
          <cell r="AF77">
            <v>0.70289803221272096</v>
          </cell>
          <cell r="AG77">
            <v>65.36905794030487</v>
          </cell>
          <cell r="AH77">
            <v>60.656898705888324</v>
          </cell>
        </row>
        <row r="78">
          <cell r="E78" t="str">
            <v/>
          </cell>
          <cell r="G78">
            <v>4.3911110304526151</v>
          </cell>
          <cell r="H78">
            <v>19.782004282966135</v>
          </cell>
          <cell r="I78">
            <v>15.390893252513521</v>
          </cell>
          <cell r="J78">
            <v>315.44093110348331</v>
          </cell>
          <cell r="K78">
            <v>3110.0759682044209</v>
          </cell>
          <cell r="L78">
            <v>1744.8417298827628</v>
          </cell>
          <cell r="M78">
            <v>16.484192951254037</v>
          </cell>
          <cell r="N78">
            <v>315.71213545124277</v>
          </cell>
          <cell r="O78">
            <v>16.464229973503684</v>
          </cell>
          <cell r="P78">
            <v>207.26638988101206</v>
          </cell>
          <cell r="Q78">
            <v>0.31591863397907483</v>
          </cell>
          <cell r="R78">
            <v>0.96831863916733196</v>
          </cell>
          <cell r="S78">
            <v>0.5421047108195205</v>
          </cell>
          <cell r="T78">
            <v>2.1416711965653739</v>
          </cell>
          <cell r="U78">
            <v>0.61647519246665072</v>
          </cell>
          <cell r="V78">
            <v>1.5713148340524183</v>
          </cell>
          <cell r="W78">
            <v>15.106920545380152</v>
          </cell>
          <cell r="X78">
            <v>25.548326846046727</v>
          </cell>
          <cell r="Y78">
            <v>1.6493846609179208</v>
          </cell>
          <cell r="Z78">
            <v>16.526209677419352</v>
          </cell>
          <cell r="AA78">
            <v>27.346774193548388</v>
          </cell>
          <cell r="AB78">
            <v>0.11456968713630615</v>
          </cell>
          <cell r="AC78">
            <v>2.6919858870967746</v>
          </cell>
          <cell r="AD78">
            <v>0.56275201612903236</v>
          </cell>
          <cell r="AE78">
            <v>5.3417233739235841E-2</v>
          </cell>
          <cell r="AF78">
            <v>0.97655320498685838</v>
          </cell>
          <cell r="AG78">
            <v>19.393706217560162</v>
          </cell>
          <cell r="AH78">
            <v>79.442161809008752</v>
          </cell>
        </row>
        <row r="79">
          <cell r="E79" t="str">
            <v>Gebäude für gewerbliche Produktion und Verarbeitung (z.B. Brauerei, Molkerei, Schlachthof)</v>
          </cell>
          <cell r="F79" t="str">
            <v>Building for Commercial Production and Processing (e.g., Brewery, Dairy, Slaughterhouse)</v>
          </cell>
          <cell r="G79">
            <v>6.7458597174492869</v>
          </cell>
          <cell r="H79">
            <v>17.23199686665934</v>
          </cell>
          <cell r="I79">
            <v>10.486137149210055</v>
          </cell>
          <cell r="J79">
            <v>253.74877560394683</v>
          </cell>
          <cell r="K79">
            <v>2338.468865890628</v>
          </cell>
          <cell r="L79">
            <v>324.22766409277108</v>
          </cell>
          <cell r="M79">
            <v>12.048140423280554</v>
          </cell>
          <cell r="N79">
            <v>254.56904607133745</v>
          </cell>
          <cell r="O79">
            <v>11.998321934778151</v>
          </cell>
          <cell r="P79">
            <v>303.40850214177436</v>
          </cell>
          <cell r="Q79">
            <v>0.68925797665331201</v>
          </cell>
          <cell r="R79">
            <v>0.91195037444891958</v>
          </cell>
          <cell r="S79">
            <v>0.36781426497065783</v>
          </cell>
          <cell r="T79">
            <v>1.9878909558187898</v>
          </cell>
          <cell r="U79">
            <v>0.86179546240246918</v>
          </cell>
          <cell r="V79">
            <v>1.193151138747405</v>
          </cell>
          <cell r="W79">
            <v>18.160320160227759</v>
          </cell>
          <cell r="X79">
            <v>25.389145467187291</v>
          </cell>
          <cell r="Y79">
            <v>3.5973021883199983</v>
          </cell>
          <cell r="Z79">
            <v>17.57142270429366</v>
          </cell>
          <cell r="AA79">
            <v>27.483643132425026</v>
          </cell>
          <cell r="AB79">
            <v>0.22394184244968499</v>
          </cell>
          <cell r="AC79">
            <v>3.4275363970181485</v>
          </cell>
          <cell r="AD79">
            <v>0.67520672237750801</v>
          </cell>
          <cell r="AE79">
            <v>0.10438052157563921</v>
          </cell>
          <cell r="AF79">
            <v>0.95635159326503349</v>
          </cell>
          <cell r="AG79">
            <v>33.944177430365606</v>
          </cell>
          <cell r="AH79">
            <v>160.2283742202701</v>
          </cell>
        </row>
        <row r="80">
          <cell r="E80" t="str">
            <v>Gebäude für industrielle Produktion und Verarbeitung (z.B. Chemie, Metall, Textilien, Lebensmittel, Holz)</v>
          </cell>
          <cell r="F80" t="str">
            <v>Building for Industrial Production and Processing (e.g., Chemicals, Metal, Textiles, Food, Wood)</v>
          </cell>
          <cell r="G80">
            <v>6.7458597174492869</v>
          </cell>
          <cell r="H80">
            <v>17.23199686665934</v>
          </cell>
          <cell r="I80">
            <v>10.486137149210055</v>
          </cell>
          <cell r="J80">
            <v>253.74877560394683</v>
          </cell>
          <cell r="K80">
            <v>2338.468865890628</v>
          </cell>
          <cell r="L80">
            <v>324.22766409277108</v>
          </cell>
          <cell r="M80">
            <v>12.048140423280554</v>
          </cell>
          <cell r="N80">
            <v>254.56904607133745</v>
          </cell>
          <cell r="O80">
            <v>11.998321934778151</v>
          </cell>
          <cell r="P80">
            <v>303.40850214177436</v>
          </cell>
          <cell r="Q80">
            <v>0.68925797665331201</v>
          </cell>
          <cell r="R80">
            <v>0.91195037444891958</v>
          </cell>
          <cell r="S80">
            <v>0.36781426497065783</v>
          </cell>
          <cell r="T80">
            <v>1.9878909558187898</v>
          </cell>
          <cell r="U80">
            <v>0.86179546240246918</v>
          </cell>
          <cell r="V80">
            <v>1.193151138747405</v>
          </cell>
          <cell r="W80">
            <v>18.160320160227759</v>
          </cell>
          <cell r="X80">
            <v>25.389145467187291</v>
          </cell>
          <cell r="Y80">
            <v>3.5973021883199983</v>
          </cell>
          <cell r="Z80">
            <v>17.57142270429366</v>
          </cell>
          <cell r="AA80">
            <v>27.483643132425026</v>
          </cell>
          <cell r="AB80">
            <v>0.22394184244968499</v>
          </cell>
          <cell r="AC80">
            <v>3.4275363970181485</v>
          </cell>
          <cell r="AD80">
            <v>0.67520672237750801</v>
          </cell>
          <cell r="AE80">
            <v>0.10438052157563921</v>
          </cell>
          <cell r="AF80">
            <v>0.95635159326503349</v>
          </cell>
          <cell r="AG80">
            <v>33.944177430365606</v>
          </cell>
          <cell r="AH80">
            <v>160.2283742202701</v>
          </cell>
        </row>
        <row r="81">
          <cell r="E81" t="str">
            <v>Werkstattgebäude allgemein (z.B. von Handwerksbetrieben wie Klempner, Schlosser, Schreiner)</v>
          </cell>
          <cell r="F81" t="str">
            <v>General Workshop Building (e.g., for Craft Businesses such as Plumbers, Locksmiths, Carpenters)</v>
          </cell>
          <cell r="G81">
            <v>6.6720124878213083</v>
          </cell>
          <cell r="H81">
            <v>17.533494225924443</v>
          </cell>
          <cell r="I81">
            <v>10.861481738103139</v>
          </cell>
          <cell r="J81">
            <v>258.89635487785432</v>
          </cell>
          <cell r="K81">
            <v>2415.888837487103</v>
          </cell>
          <cell r="L81">
            <v>401.09005616309196</v>
          </cell>
          <cell r="M81">
            <v>12.480053784548955</v>
          </cell>
          <cell r="N81">
            <v>259.63642332809485</v>
          </cell>
          <cell r="O81">
            <v>12.434351954494986</v>
          </cell>
          <cell r="P81">
            <v>289.23839766258857</v>
          </cell>
          <cell r="Q81">
            <v>0.6727773539295322</v>
          </cell>
          <cell r="R81">
            <v>0.9235952577789015</v>
          </cell>
          <cell r="S81">
            <v>0.41708513257523822</v>
          </cell>
          <cell r="T81">
            <v>1.9187737379506464</v>
          </cell>
          <cell r="U81">
            <v>0.85649530598405543</v>
          </cell>
          <cell r="V81">
            <v>1.2453902570810851</v>
          </cell>
          <cell r="W81">
            <v>18.367858349698068</v>
          </cell>
          <cell r="X81">
            <v>25.186516280553672</v>
          </cell>
          <cell r="Y81">
            <v>3.5114617328251843</v>
          </cell>
          <cell r="Z81">
            <v>17.875973092285051</v>
          </cell>
          <cell r="AA81">
            <v>27.259012402774854</v>
          </cell>
          <cell r="AB81">
            <v>0.25670756843512699</v>
          </cell>
          <cell r="AC81">
            <v>3.5193183939457637</v>
          </cell>
          <cell r="AD81">
            <v>0.77091449442926197</v>
          </cell>
          <cell r="AE81">
            <v>0.11733495105114565</v>
          </cell>
          <cell r="AF81">
            <v>0.9509489847827346</v>
          </cell>
          <cell r="AG81">
            <v>33.054081850186989</v>
          </cell>
          <cell r="AH81">
            <v>138.14812130695236</v>
          </cell>
        </row>
        <row r="82">
          <cell r="E82" t="str">
            <v>Werkstattgebäude zur Wartung, Instandsetzung, Reparatur (von z.B. Kfz)</v>
          </cell>
          <cell r="F82" t="str">
            <v>Workshop Building for Maintenance, Repair, Overhaul (e.g., Automotive)</v>
          </cell>
          <cell r="G82">
            <v>6.6720124878213083</v>
          </cell>
          <cell r="H82">
            <v>17.533494225924443</v>
          </cell>
          <cell r="I82">
            <v>10.861481738103139</v>
          </cell>
          <cell r="J82">
            <v>258.89635487785432</v>
          </cell>
          <cell r="K82">
            <v>2415.888837487103</v>
          </cell>
          <cell r="L82">
            <v>401.09005616309196</v>
          </cell>
          <cell r="M82">
            <v>12.480053784548955</v>
          </cell>
          <cell r="N82">
            <v>259.63642332809485</v>
          </cell>
          <cell r="O82">
            <v>12.434351954494986</v>
          </cell>
          <cell r="P82">
            <v>289.23839766258857</v>
          </cell>
          <cell r="Q82">
            <v>0.6727773539295322</v>
          </cell>
          <cell r="R82">
            <v>0.9235952577789015</v>
          </cell>
          <cell r="S82">
            <v>0.41708513257523822</v>
          </cell>
          <cell r="T82">
            <v>1.9187737379506464</v>
          </cell>
          <cell r="U82">
            <v>0.85649530598405543</v>
          </cell>
          <cell r="V82">
            <v>1.2453902570810851</v>
          </cell>
          <cell r="W82">
            <v>18.367858349698068</v>
          </cell>
          <cell r="X82">
            <v>25.186516280553672</v>
          </cell>
          <cell r="Y82">
            <v>3.5114617328251843</v>
          </cell>
          <cell r="Z82">
            <v>17.875973092285051</v>
          </cell>
          <cell r="AA82">
            <v>27.259012402774854</v>
          </cell>
          <cell r="AB82">
            <v>0.25670756843512699</v>
          </cell>
          <cell r="AC82">
            <v>3.5193183939457637</v>
          </cell>
          <cell r="AD82">
            <v>0.77091449442926197</v>
          </cell>
          <cell r="AE82">
            <v>0.11733495105114565</v>
          </cell>
          <cell r="AF82">
            <v>0.9509489847827346</v>
          </cell>
          <cell r="AG82">
            <v>33.054081850186989</v>
          </cell>
          <cell r="AH82">
            <v>138.14812130695236</v>
          </cell>
        </row>
        <row r="83">
          <cell r="E83" t="str">
            <v>Logistikimmobilie mit Toren bzw. Rampen</v>
          </cell>
          <cell r="F83" t="str">
            <v>Logistics Property with Gates or Ramps</v>
          </cell>
          <cell r="G83">
            <v>2.4412736995624704</v>
          </cell>
          <cell r="H83">
            <v>21.812980068060284</v>
          </cell>
          <cell r="I83">
            <v>19.371706368497815</v>
          </cell>
          <cell r="J83">
            <v>342.81115215638243</v>
          </cell>
          <cell r="K83">
            <v>3729.9864203532661</v>
          </cell>
          <cell r="L83">
            <v>2910.8505590666027</v>
          </cell>
          <cell r="M83">
            <v>20.038032733754662</v>
          </cell>
          <cell r="N83">
            <v>342.84963209829448</v>
          </cell>
          <cell r="O83">
            <v>20.038032733754662</v>
          </cell>
          <cell r="P83">
            <v>165.71261506339152</v>
          </cell>
          <cell r="Q83">
            <v>0.14519820516166593</v>
          </cell>
          <cell r="R83">
            <v>0.99147292852434443</v>
          </cell>
          <cell r="S83">
            <v>0.60901718882274791</v>
          </cell>
          <cell r="T83">
            <v>2.2320642062926415</v>
          </cell>
          <cell r="U83">
            <v>0.50447412976774841</v>
          </cell>
          <cell r="V83">
            <v>1.7321909809708322</v>
          </cell>
          <cell r="W83">
            <v>13.618127566026562</v>
          </cell>
          <cell r="X83">
            <v>25.692970216524959</v>
          </cell>
          <cell r="Y83">
            <v>0.76716623669514172</v>
          </cell>
          <cell r="Z83">
            <v>15.214430894308942</v>
          </cell>
          <cell r="AA83">
            <v>27.337398373983739</v>
          </cell>
          <cell r="AB83">
            <v>5.6175696068688372E-2</v>
          </cell>
          <cell r="AC83">
            <v>1.8838922764227641</v>
          </cell>
          <cell r="AD83">
            <v>0.3902439024390244</v>
          </cell>
          <cell r="AE83">
            <v>2.687238378221022E-2</v>
          </cell>
          <cell r="AF83">
            <v>0.98747226934620902</v>
          </cell>
          <cell r="AG83">
            <v>7.9120725976340962</v>
          </cell>
          <cell r="AH83">
            <v>20.636914600550966</v>
          </cell>
        </row>
        <row r="84">
          <cell r="E84" t="str">
            <v>Sonstiges Gebäude für Lagerung</v>
          </cell>
          <cell r="F84" t="str">
            <v>Other Storage Building</v>
          </cell>
          <cell r="G84">
            <v>2.4412736995624704</v>
          </cell>
          <cell r="H84">
            <v>21.812980068060284</v>
          </cell>
          <cell r="I84">
            <v>19.371706368497815</v>
          </cell>
          <cell r="J84">
            <v>342.81115215638243</v>
          </cell>
          <cell r="K84">
            <v>3729.9864203532661</v>
          </cell>
          <cell r="L84">
            <v>2910.8505590666027</v>
          </cell>
          <cell r="M84">
            <v>20.038032733754662</v>
          </cell>
          <cell r="N84">
            <v>342.84963209829448</v>
          </cell>
          <cell r="O84">
            <v>20.038032733754662</v>
          </cell>
          <cell r="P84">
            <v>165.71261506339152</v>
          </cell>
          <cell r="Q84">
            <v>0.14519820516166593</v>
          </cell>
          <cell r="R84">
            <v>0.99147292852434443</v>
          </cell>
          <cell r="S84">
            <v>0.60901718882274791</v>
          </cell>
          <cell r="T84">
            <v>2.2320642062926415</v>
          </cell>
          <cell r="U84">
            <v>0.50447412976774841</v>
          </cell>
          <cell r="V84">
            <v>1.7321909809708322</v>
          </cell>
          <cell r="W84">
            <v>13.618127566026562</v>
          </cell>
          <cell r="X84">
            <v>25.692970216524959</v>
          </cell>
          <cell r="Y84">
            <v>0.76716623669514172</v>
          </cell>
          <cell r="Z84">
            <v>15.214430894308942</v>
          </cell>
          <cell r="AA84">
            <v>27.337398373983739</v>
          </cell>
          <cell r="AB84">
            <v>5.6175696068688372E-2</v>
          </cell>
          <cell r="AC84">
            <v>1.8838922764227641</v>
          </cell>
          <cell r="AD84">
            <v>0.3902439024390244</v>
          </cell>
          <cell r="AE84">
            <v>2.687238378221022E-2</v>
          </cell>
          <cell r="AF84">
            <v>0.98747226934620902</v>
          </cell>
          <cell r="AG84">
            <v>7.9120725976340962</v>
          </cell>
          <cell r="AH84">
            <v>20.636914600550966</v>
          </cell>
        </row>
        <row r="85">
          <cell r="E85" t="str">
            <v>Feuerwehr, Rettungswache</v>
          </cell>
          <cell r="F85" t="str">
            <v>Fire Station, Rescue Station</v>
          </cell>
          <cell r="G85">
            <v>6.3702177983640498</v>
          </cell>
          <cell r="H85">
            <v>18.369350546959694</v>
          </cell>
          <cell r="I85">
            <v>11.999132748595645</v>
          </cell>
          <cell r="J85">
            <v>270.38437783355454</v>
          </cell>
          <cell r="K85">
            <v>2634.3866167340102</v>
          </cell>
          <cell r="L85">
            <v>609.9914260372525</v>
          </cell>
          <cell r="M85">
            <v>13.779777274071154</v>
          </cell>
          <cell r="N85">
            <v>270.38437783355454</v>
          </cell>
          <cell r="O85">
            <v>13.497920567655463</v>
          </cell>
          <cell r="P85">
            <v>209.55622429267905</v>
          </cell>
          <cell r="Q85">
            <v>0.58429898681945425</v>
          </cell>
          <cell r="R85">
            <v>0.97287803724194111</v>
          </cell>
          <cell r="S85">
            <v>0.67166544016189855</v>
          </cell>
          <cell r="T85">
            <v>1.5549537925279575</v>
          </cell>
          <cell r="U85">
            <v>0.86769238603361487</v>
          </cell>
          <cell r="V85">
            <v>1.3283598564989423</v>
          </cell>
          <cell r="W85">
            <v>19.210430437467966</v>
          </cell>
          <cell r="X85">
            <v>24.47079385521111</v>
          </cell>
          <cell r="Y85">
            <v>3.235916001944886</v>
          </cell>
          <cell r="Z85">
            <v>19.200400801603202</v>
          </cell>
          <cell r="AA85">
            <v>26.298597194388776</v>
          </cell>
          <cell r="AB85">
            <v>0.25578209390646151</v>
          </cell>
          <cell r="AC85">
            <v>5.3626753507014024</v>
          </cell>
          <cell r="AD85">
            <v>1.2034068136272544</v>
          </cell>
          <cell r="AE85">
            <v>0.17482949393537192</v>
          </cell>
          <cell r="AF85">
            <v>0.92800373207879405</v>
          </cell>
          <cell r="AG85">
            <v>31.168857790479944</v>
          </cell>
          <cell r="AH85">
            <v>39.979225386813837</v>
          </cell>
        </row>
        <row r="86">
          <cell r="E86" t="str">
            <v>Straßenmeisterei, Bauhof u.ä.</v>
          </cell>
          <cell r="F86" t="str">
            <v>Road Maintenance Depot, Public Works Yard, etc.</v>
          </cell>
          <cell r="G86">
            <v>6.6720124878213083</v>
          </cell>
          <cell r="H86">
            <v>17.533494225924443</v>
          </cell>
          <cell r="I86">
            <v>10.861481738103139</v>
          </cell>
          <cell r="J86">
            <v>258.89635487785432</v>
          </cell>
          <cell r="K86">
            <v>2415.888837487103</v>
          </cell>
          <cell r="L86">
            <v>401.09005616309196</v>
          </cell>
          <cell r="M86">
            <v>12.480053784548955</v>
          </cell>
          <cell r="N86">
            <v>259.63642332809485</v>
          </cell>
          <cell r="O86">
            <v>12.434351954494986</v>
          </cell>
          <cell r="P86">
            <v>289.23839766258857</v>
          </cell>
          <cell r="Q86">
            <v>0.6727773539295322</v>
          </cell>
          <cell r="R86">
            <v>0.9235952577789015</v>
          </cell>
          <cell r="S86">
            <v>0.41708513257523822</v>
          </cell>
          <cell r="T86">
            <v>1.9187737379506464</v>
          </cell>
          <cell r="U86">
            <v>0.85649530598405543</v>
          </cell>
          <cell r="V86">
            <v>1.2453902570810851</v>
          </cell>
          <cell r="W86">
            <v>18.367858349698068</v>
          </cell>
          <cell r="X86">
            <v>25.186516280553672</v>
          </cell>
          <cell r="Y86">
            <v>3.5114617328251843</v>
          </cell>
          <cell r="Z86">
            <v>17.875973092285051</v>
          </cell>
          <cell r="AA86">
            <v>27.259012402774854</v>
          </cell>
          <cell r="AB86">
            <v>0.25670756843512699</v>
          </cell>
          <cell r="AC86">
            <v>3.5193183939457637</v>
          </cell>
          <cell r="AD86">
            <v>0.77091449442926197</v>
          </cell>
          <cell r="AE86">
            <v>0.11733495105114565</v>
          </cell>
          <cell r="AF86">
            <v>0.9509489847827346</v>
          </cell>
          <cell r="AG86">
            <v>33.054081850186989</v>
          </cell>
          <cell r="AH86">
            <v>138.14812130695236</v>
          </cell>
        </row>
        <row r="87">
          <cell r="E87" t="str">
            <v>Fuhrpark</v>
          </cell>
          <cell r="F87" t="str">
            <v>Fleet (Vehicle Fleet)</v>
          </cell>
          <cell r="G87">
            <v>6.6720124878213083</v>
          </cell>
          <cell r="H87">
            <v>17.533494225924443</v>
          </cell>
          <cell r="I87">
            <v>10.861481738103139</v>
          </cell>
          <cell r="J87">
            <v>258.89635487785432</v>
          </cell>
          <cell r="K87">
            <v>2415.888837487103</v>
          </cell>
          <cell r="L87">
            <v>401.09005616309196</v>
          </cell>
          <cell r="M87">
            <v>12.480053784548955</v>
          </cell>
          <cell r="N87">
            <v>259.63642332809485</v>
          </cell>
          <cell r="O87">
            <v>12.434351954494986</v>
          </cell>
          <cell r="P87">
            <v>289.23839766258857</v>
          </cell>
          <cell r="Q87">
            <v>0.6727773539295322</v>
          </cell>
          <cell r="R87">
            <v>0.9235952577789015</v>
          </cell>
          <cell r="S87">
            <v>0.41708513257523822</v>
          </cell>
          <cell r="T87">
            <v>1.9187737379506464</v>
          </cell>
          <cell r="U87">
            <v>0.85649530598405543</v>
          </cell>
          <cell r="V87">
            <v>1.2453902570810851</v>
          </cell>
          <cell r="W87">
            <v>18.367858349698068</v>
          </cell>
          <cell r="X87">
            <v>25.186516280553672</v>
          </cell>
          <cell r="Y87">
            <v>3.5114617328251843</v>
          </cell>
          <cell r="Z87">
            <v>17.875973092285051</v>
          </cell>
          <cell r="AA87">
            <v>27.259012402774854</v>
          </cell>
          <cell r="AB87">
            <v>0.25670756843512699</v>
          </cell>
          <cell r="AC87">
            <v>3.5193183939457637</v>
          </cell>
          <cell r="AD87">
            <v>0.77091449442926197</v>
          </cell>
          <cell r="AE87">
            <v>0.11733495105114565</v>
          </cell>
          <cell r="AF87">
            <v>0.9509489847827346</v>
          </cell>
          <cell r="AG87">
            <v>33.054081850186989</v>
          </cell>
          <cell r="AH87">
            <v>138.14812130695236</v>
          </cell>
        </row>
        <row r="88">
          <cell r="E88" t="str">
            <v>zentrales Wirtschaftsgebäude (z.B. Zentralküche oder -wäscherei in Krankenhaus)</v>
          </cell>
          <cell r="F88" t="str">
            <v>Central Business Building (e.g., Central Kitchen or Laundry in a Hospital)</v>
          </cell>
          <cell r="G88">
            <v>6.6720124878213083</v>
          </cell>
          <cell r="H88">
            <v>17.533494225924443</v>
          </cell>
          <cell r="I88">
            <v>10.861481738103139</v>
          </cell>
          <cell r="J88">
            <v>258.89635487785432</v>
          </cell>
          <cell r="K88">
            <v>2415.888837487103</v>
          </cell>
          <cell r="L88">
            <v>401.09005616309196</v>
          </cell>
          <cell r="M88">
            <v>12.480053784548955</v>
          </cell>
          <cell r="N88">
            <v>259.63642332809485</v>
          </cell>
          <cell r="O88">
            <v>12.434351954494986</v>
          </cell>
          <cell r="P88">
            <v>289.23839766258857</v>
          </cell>
          <cell r="Q88">
            <v>0.6727773539295322</v>
          </cell>
          <cell r="R88">
            <v>0.9235952577789015</v>
          </cell>
          <cell r="S88">
            <v>0.41708513257523822</v>
          </cell>
          <cell r="T88">
            <v>1.9187737379506464</v>
          </cell>
          <cell r="U88">
            <v>0.85649530598405543</v>
          </cell>
          <cell r="V88">
            <v>1.2453902570810851</v>
          </cell>
          <cell r="W88">
            <v>18.367858349698068</v>
          </cell>
          <cell r="X88">
            <v>25.186516280553672</v>
          </cell>
          <cell r="Y88">
            <v>3.5114617328251843</v>
          </cell>
          <cell r="Z88">
            <v>17.875973092285051</v>
          </cell>
          <cell r="AA88">
            <v>27.259012402774854</v>
          </cell>
          <cell r="AB88">
            <v>0.25670756843512699</v>
          </cell>
          <cell r="AC88">
            <v>3.5193183939457637</v>
          </cell>
          <cell r="AD88">
            <v>0.77091449442926197</v>
          </cell>
          <cell r="AE88">
            <v>0.11733495105114565</v>
          </cell>
          <cell r="AF88">
            <v>0.9509489847827346</v>
          </cell>
          <cell r="AG88">
            <v>33.054081850186989</v>
          </cell>
          <cell r="AH88">
            <v>138.14812130695236</v>
          </cell>
        </row>
        <row r="89">
          <cell r="E89" t="str">
            <v>Rechenzentrum</v>
          </cell>
          <cell r="F89" t="str">
            <v>Data Center</v>
          </cell>
          <cell r="G89">
            <v>3.778054085926148</v>
          </cell>
          <cell r="H89">
            <v>20.772602935177176</v>
          </cell>
          <cell r="I89">
            <v>16.994548849251029</v>
          </cell>
          <cell r="J89">
            <v>324.82804473857254</v>
          </cell>
          <cell r="K89">
            <v>3401.9212751796572</v>
          </cell>
          <cell r="L89">
            <v>2119.7302806737462</v>
          </cell>
          <cell r="M89">
            <v>18.072754948273641</v>
          </cell>
          <cell r="N89">
            <v>324.82804473857254</v>
          </cell>
          <cell r="O89">
            <v>18.072754948273641</v>
          </cell>
          <cell r="P89">
            <v>375.2275628447378</v>
          </cell>
          <cell r="Q89">
            <v>0.75032988290056368</v>
          </cell>
          <cell r="R89">
            <v>0.96930980140774303</v>
          </cell>
          <cell r="S89">
            <v>0.62688032582538589</v>
          </cell>
          <cell r="T89">
            <v>1.4182423458741569</v>
          </cell>
          <cell r="U89">
            <v>0.66706490979852529</v>
          </cell>
          <cell r="V89">
            <v>1.2164473449239765</v>
          </cell>
          <cell r="W89">
            <v>21</v>
          </cell>
          <cell r="X89">
            <v>24</v>
          </cell>
          <cell r="Y89">
            <v>4</v>
          </cell>
          <cell r="Z89">
            <v>20</v>
          </cell>
          <cell r="AA89">
            <v>26</v>
          </cell>
          <cell r="AB89">
            <v>4.0734113300668007E-2</v>
          </cell>
          <cell r="AC89">
            <v>1.33244007992008</v>
          </cell>
          <cell r="AD89">
            <v>0.26794805194805194</v>
          </cell>
          <cell r="AE89">
            <v>2.1470767105530822E-2</v>
          </cell>
          <cell r="AF89">
            <v>0.98861033852607183</v>
          </cell>
          <cell r="AG89">
            <v>9.6735449632791628</v>
          </cell>
          <cell r="AH89">
            <v>834.11919141546048</v>
          </cell>
        </row>
        <row r="90">
          <cell r="E90" t="str">
            <v/>
          </cell>
          <cell r="G90">
            <v>7.6957436650103439</v>
          </cell>
          <cell r="H90">
            <v>19.504535728811156</v>
          </cell>
          <cell r="I90">
            <v>11.808792063800812</v>
          </cell>
          <cell r="J90">
            <v>287.69437360642956</v>
          </cell>
          <cell r="K90">
            <v>2865.888047956711</v>
          </cell>
          <cell r="L90">
            <v>531.43498788703994</v>
          </cell>
          <cell r="M90">
            <v>13.811550635709354</v>
          </cell>
          <cell r="N90">
            <v>287.83213961087102</v>
          </cell>
          <cell r="O90">
            <v>13.767661049318308</v>
          </cell>
          <cell r="P90">
            <v>266.44087517351784</v>
          </cell>
          <cell r="Q90">
            <v>0.76545128099922288</v>
          </cell>
          <cell r="R90">
            <v>0.94493298133120895</v>
          </cell>
          <cell r="S90">
            <v>0.22436751178123959</v>
          </cell>
          <cell r="T90">
            <v>2.1731970248532866</v>
          </cell>
          <cell r="U90">
            <v>0.98289395461808127</v>
          </cell>
          <cell r="V90">
            <v>1.2807725078953396</v>
          </cell>
          <cell r="W90">
            <v>20.83064514921406</v>
          </cell>
          <cell r="X90">
            <v>24.048841043487634</v>
          </cell>
          <cell r="Y90">
            <v>3.9304461372359047</v>
          </cell>
          <cell r="Z90">
            <v>19.908726178535602</v>
          </cell>
          <cell r="AA90">
            <v>26.040120361083233</v>
          </cell>
          <cell r="AB90">
            <v>0.78778943963677706</v>
          </cell>
          <cell r="AC90">
            <v>4.0742226680040101</v>
          </cell>
          <cell r="AD90">
            <v>1.9536108324974919</v>
          </cell>
          <cell r="AE90">
            <v>0.39406243495423027</v>
          </cell>
          <cell r="AF90">
            <v>0.97769613311789927</v>
          </cell>
          <cell r="AG90">
            <v>66.393945288323792</v>
          </cell>
          <cell r="AH90">
            <v>-46.063270322363863</v>
          </cell>
        </row>
        <row r="91">
          <cell r="E91" t="str">
            <v>Handelsgebäude des Lebensmitteleinzel- und -großhandels</v>
          </cell>
          <cell r="F91" t="str">
            <v>Commercial Building for Retail and Wholesale of Food Products</v>
          </cell>
          <cell r="G91">
            <v>7.6910707532369837</v>
          </cell>
          <cell r="H91">
            <v>19.498821477906297</v>
          </cell>
          <cell r="I91">
            <v>11.807750724669313</v>
          </cell>
          <cell r="J91">
            <v>287.67364888733988</v>
          </cell>
          <cell r="K91">
            <v>2866.7371783933036</v>
          </cell>
          <cell r="L91">
            <v>530.05291320292963</v>
          </cell>
          <cell r="M91">
            <v>13.812019927461041</v>
          </cell>
          <cell r="N91">
            <v>287.82914803947824</v>
          </cell>
          <cell r="O91">
            <v>13.786846196627989</v>
          </cell>
          <cell r="P91">
            <v>267.28818898475021</v>
          </cell>
          <cell r="Q91">
            <v>0.76931436510261419</v>
          </cell>
          <cell r="R91">
            <v>0.94435862842218332</v>
          </cell>
          <cell r="S91">
            <v>0.22285734103243701</v>
          </cell>
          <cell r="T91">
            <v>2.1751802822542681</v>
          </cell>
          <cell r="U91">
            <v>0.98189043562981748</v>
          </cell>
          <cell r="V91">
            <v>1.2846191256567563</v>
          </cell>
          <cell r="W91">
            <v>20.821055265068431</v>
          </cell>
          <cell r="X91">
            <v>24.050737141233476</v>
          </cell>
          <cell r="Y91">
            <v>3.9224262070580687</v>
          </cell>
          <cell r="Z91">
            <v>19.910086002461561</v>
          </cell>
          <cell r="AA91">
            <v>26.039060697128857</v>
          </cell>
          <cell r="AB91">
            <v>0.79002305589359012</v>
          </cell>
          <cell r="AC91">
            <v>4.0555018124819506</v>
          </cell>
          <cell r="AD91">
            <v>1.961966711200178</v>
          </cell>
          <cell r="AE91">
            <v>0.39463716157281287</v>
          </cell>
          <cell r="AF91">
            <v>0.9791257218032513</v>
          </cell>
          <cell r="AG91">
            <v>65.898241337107649</v>
          </cell>
          <cell r="AH91">
            <v>-48.242011394184047</v>
          </cell>
        </row>
        <row r="92">
          <cell r="E92" t="str">
            <v>Handelsgebäude des Non-Food-Einzel- und -Großhandels</v>
          </cell>
          <cell r="F92" t="str">
            <v>Commercial Building for Retail and Wholesale of Non-Food Products</v>
          </cell>
          <cell r="G92">
            <v>7.7753388303282014</v>
          </cell>
          <cell r="H92">
            <v>19.628547668267895</v>
          </cell>
          <cell r="I92">
            <v>11.85320883793969</v>
          </cell>
          <cell r="J92">
            <v>289.81669924442599</v>
          </cell>
          <cell r="K92">
            <v>2884.4925454713384</v>
          </cell>
          <cell r="L92">
            <v>550.79448293299436</v>
          </cell>
          <cell r="M92">
            <v>13.8412621722292</v>
          </cell>
          <cell r="N92">
            <v>289.81669924442599</v>
          </cell>
          <cell r="O92">
            <v>13.769914029686051</v>
          </cell>
          <cell r="P92">
            <v>267.63542356538755</v>
          </cell>
          <cell r="Q92">
            <v>0.75665131445093603</v>
          </cell>
          <cell r="R92">
            <v>0.94472557580058469</v>
          </cell>
          <cell r="S92">
            <v>0.18728339137559924</v>
          </cell>
          <cell r="T92">
            <v>2.2049590015865004</v>
          </cell>
          <cell r="U92">
            <v>0.9880241956546274</v>
          </cell>
          <cell r="V92">
            <v>1.3372351333002666</v>
          </cell>
          <cell r="W92">
            <v>20.956420434543514</v>
          </cell>
          <cell r="X92">
            <v>24.047113776794252</v>
          </cell>
          <cell r="Y92">
            <v>3.9655774582095344</v>
          </cell>
          <cell r="Z92">
            <v>19.963038796372132</v>
          </cell>
          <cell r="AA92">
            <v>26.038159371492704</v>
          </cell>
          <cell r="AB92">
            <v>0.80511573891013255</v>
          </cell>
          <cell r="AC92">
            <v>4.0069031152364483</v>
          </cell>
          <cell r="AD92">
            <v>1.9919540752874088</v>
          </cell>
          <cell r="AE92">
            <v>0.40482835485530211</v>
          </cell>
          <cell r="AF92">
            <v>0.97826694311011986</v>
          </cell>
          <cell r="AG92">
            <v>69.734315048876766</v>
          </cell>
          <cell r="AH92">
            <v>-11.248086196956283</v>
          </cell>
        </row>
        <row r="93">
          <cell r="E93" t="str">
            <v>Einkaufszentrum, Shopping-Mall</v>
          </cell>
          <cell r="F93" t="str">
            <v>Shopping Center, Shopping Mall</v>
          </cell>
          <cell r="G93">
            <v>7.7753388303282014</v>
          </cell>
          <cell r="H93">
            <v>19.628547668267895</v>
          </cell>
          <cell r="I93">
            <v>11.85320883793969</v>
          </cell>
          <cell r="J93">
            <v>289.81669924442599</v>
          </cell>
          <cell r="K93">
            <v>2884.4925454713384</v>
          </cell>
          <cell r="L93">
            <v>550.79448293299436</v>
          </cell>
          <cell r="M93">
            <v>13.8412621722292</v>
          </cell>
          <cell r="N93">
            <v>289.81669924442599</v>
          </cell>
          <cell r="O93">
            <v>13.769914029686051</v>
          </cell>
          <cell r="P93">
            <v>267.63542356538755</v>
          </cell>
          <cell r="Q93">
            <v>0.75665131445093603</v>
          </cell>
          <cell r="R93">
            <v>0.94472557580058469</v>
          </cell>
          <cell r="S93">
            <v>0.18728339137559924</v>
          </cell>
          <cell r="T93">
            <v>2.2049590015865004</v>
          </cell>
          <cell r="U93">
            <v>0.9880241956546274</v>
          </cell>
          <cell r="V93">
            <v>1.3372351333002666</v>
          </cell>
          <cell r="W93">
            <v>20.956420434543514</v>
          </cell>
          <cell r="X93">
            <v>24.047113776794252</v>
          </cell>
          <cell r="Y93">
            <v>3.9655774582095344</v>
          </cell>
          <cell r="Z93">
            <v>19.963038796372132</v>
          </cell>
          <cell r="AA93">
            <v>26.038159371492704</v>
          </cell>
          <cell r="AB93">
            <v>0.80511573891013255</v>
          </cell>
          <cell r="AC93">
            <v>4.0069031152364483</v>
          </cell>
          <cell r="AD93">
            <v>1.9919540752874088</v>
          </cell>
          <cell r="AE93">
            <v>0.40482835485530211</v>
          </cell>
          <cell r="AF93">
            <v>0.97826694311011986</v>
          </cell>
          <cell r="AG93">
            <v>69.734315048876766</v>
          </cell>
          <cell r="AH93">
            <v>-11.248086196956283</v>
          </cell>
        </row>
        <row r="94">
          <cell r="E94" t="str">
            <v>Markthalle</v>
          </cell>
          <cell r="F94" t="str">
            <v>Market Hall</v>
          </cell>
          <cell r="G94">
            <v>7.6910707532369837</v>
          </cell>
          <cell r="H94">
            <v>19.498821477906297</v>
          </cell>
          <cell r="I94">
            <v>11.807750724669313</v>
          </cell>
          <cell r="J94">
            <v>287.67364888733988</v>
          </cell>
          <cell r="K94">
            <v>2866.7371783933036</v>
          </cell>
          <cell r="L94">
            <v>530.05291320292963</v>
          </cell>
          <cell r="M94">
            <v>13.812019927461041</v>
          </cell>
          <cell r="N94">
            <v>287.82914803947824</v>
          </cell>
          <cell r="O94">
            <v>13.786846196627989</v>
          </cell>
          <cell r="P94">
            <v>267.28818898475021</v>
          </cell>
          <cell r="Q94">
            <v>0.76931436510261419</v>
          </cell>
          <cell r="R94">
            <v>0.94435862842218332</v>
          </cell>
          <cell r="S94">
            <v>0.22285734103243701</v>
          </cell>
          <cell r="T94">
            <v>2.1751802822542681</v>
          </cell>
          <cell r="U94">
            <v>0.98189043562981748</v>
          </cell>
          <cell r="V94">
            <v>1.2846191256567563</v>
          </cell>
          <cell r="W94">
            <v>20.821055265068431</v>
          </cell>
          <cell r="X94">
            <v>24.050737141233476</v>
          </cell>
          <cell r="Y94">
            <v>3.9224262070580687</v>
          </cell>
          <cell r="Z94">
            <v>19.910086002461561</v>
          </cell>
          <cell r="AA94">
            <v>26.039060697128857</v>
          </cell>
          <cell r="AB94">
            <v>0.79002305589359012</v>
          </cell>
          <cell r="AC94">
            <v>4.0555018124819506</v>
          </cell>
          <cell r="AD94">
            <v>1.961966711200178</v>
          </cell>
          <cell r="AE94">
            <v>0.39463716157281287</v>
          </cell>
          <cell r="AF94">
            <v>0.9791257218032513</v>
          </cell>
          <cell r="AG94">
            <v>65.898241337107649</v>
          </cell>
          <cell r="AH94">
            <v>-48.242011394184047</v>
          </cell>
        </row>
        <row r="95">
          <cell r="E95" t="str">
            <v>Messehalle</v>
          </cell>
          <cell r="F95" t="str">
            <v>Exhibition Hall</v>
          </cell>
          <cell r="G95">
            <v>9.4042983005542933</v>
          </cell>
          <cell r="H95">
            <v>19.33923644253597</v>
          </cell>
          <cell r="I95">
            <v>9.934938141981668</v>
          </cell>
          <cell r="J95">
            <v>252.44535554962803</v>
          </cell>
          <cell r="K95">
            <v>2050.8796519582934</v>
          </cell>
          <cell r="L95">
            <v>457.19204430815898</v>
          </cell>
          <cell r="M95">
            <v>11.989478896408269</v>
          </cell>
          <cell r="N95">
            <v>252.44535554962803</v>
          </cell>
          <cell r="O95">
            <v>11.92327966007133</v>
          </cell>
          <cell r="P95">
            <v>284.85381639103809</v>
          </cell>
          <cell r="Q95">
            <v>0.65972654115117069</v>
          </cell>
          <cell r="R95">
            <v>0.9647103599828224</v>
          </cell>
          <cell r="S95">
            <v>0.56343554852606481</v>
          </cell>
          <cell r="T95">
            <v>1.5919764925982165</v>
          </cell>
          <cell r="U95">
            <v>0.96337485878556806</v>
          </cell>
          <cell r="V95">
            <v>1.1762170107257612</v>
          </cell>
          <cell r="W95">
            <v>20.946699238618208</v>
          </cell>
          <cell r="X95">
            <v>24.010321713893802</v>
          </cell>
          <cell r="Y95">
            <v>3.9988031302309119</v>
          </cell>
          <cell r="Z95">
            <v>19.967134514040136</v>
          </cell>
          <cell r="AA95">
            <v>26.012136650472069</v>
          </cell>
          <cell r="AB95">
            <v>0.54171789891909417</v>
          </cell>
          <cell r="AC95">
            <v>11.035283572935132</v>
          </cell>
          <cell r="AD95">
            <v>1.9920748490697044</v>
          </cell>
          <cell r="AE95">
            <v>0.27804668885188477</v>
          </cell>
          <cell r="AF95">
            <v>0.88481019365250524</v>
          </cell>
          <cell r="AG95">
            <v>61.084278055442695</v>
          </cell>
          <cell r="AH95">
            <v>36.422250018288409</v>
          </cell>
        </row>
        <row r="96">
          <cell r="E96" t="str">
            <v>von Dienstleistern (z.B. Frisör, Kosmetik) genutztes Ladengebäude</v>
          </cell>
          <cell r="F96" t="str">
            <v>Retail Building Used by Service Providers (e.g., Hairdresser, Cosmetics)</v>
          </cell>
          <cell r="G96">
            <v>7.6094781672891196</v>
          </cell>
          <cell r="H96">
            <v>19.002160155686827</v>
          </cell>
          <cell r="I96">
            <v>11.392681988397705</v>
          </cell>
          <cell r="J96">
            <v>274.80992774244964</v>
          </cell>
          <cell r="K96">
            <v>2695.4856449219888</v>
          </cell>
          <cell r="L96">
            <v>436.86767700039871</v>
          </cell>
          <cell r="M96">
            <v>13.32732621943682</v>
          </cell>
          <cell r="N96">
            <v>274.80992774244964</v>
          </cell>
          <cell r="O96">
            <v>13.32732621943682</v>
          </cell>
          <cell r="P96">
            <v>300.43943618242275</v>
          </cell>
          <cell r="Q96">
            <v>0.78109282309643724</v>
          </cell>
          <cell r="R96">
            <v>0.94414306715273211</v>
          </cell>
          <cell r="S96">
            <v>0.25406238161622929</v>
          </cell>
          <cell r="T96">
            <v>1.9109533915130619</v>
          </cell>
          <cell r="U96">
            <v>0.98469224978157066</v>
          </cell>
          <cell r="V96">
            <v>1.2943108404700394</v>
          </cell>
          <cell r="W96">
            <v>20.905294709453528</v>
          </cell>
          <cell r="X96">
            <v>24.096050113102486</v>
          </cell>
          <cell r="Y96">
            <v>3.692306356767403</v>
          </cell>
          <cell r="Z96">
            <v>19.732868882569477</v>
          </cell>
          <cell r="AA96">
            <v>26.150556030795546</v>
          </cell>
          <cell r="AB96">
            <v>0.76563113104479819</v>
          </cell>
          <cell r="AC96">
            <v>7.9801995751097543</v>
          </cell>
          <cell r="AD96">
            <v>1.8019634262149231</v>
          </cell>
          <cell r="AE96">
            <v>0.35053175757351773</v>
          </cell>
          <cell r="AF96">
            <v>0.93614532917360638</v>
          </cell>
          <cell r="AG96">
            <v>65.483088512889694</v>
          </cell>
          <cell r="AH96">
            <v>96.51887453182799</v>
          </cell>
        </row>
        <row r="97">
          <cell r="E97" t="str">
            <v/>
          </cell>
          <cell r="G97">
            <v>5.1677190985254082</v>
          </cell>
          <cell r="H97">
            <v>20.057702911826961</v>
          </cell>
          <cell r="I97">
            <v>14.889983813301551</v>
          </cell>
          <cell r="J97">
            <v>308.09759885318363</v>
          </cell>
          <cell r="K97">
            <v>3089.8451591099092</v>
          </cell>
          <cell r="L97">
            <v>1497.7231007310695</v>
          </cell>
          <cell r="M97">
            <v>16.378377416887531</v>
          </cell>
          <cell r="N97">
            <v>308.09759885318363</v>
          </cell>
          <cell r="O97">
            <v>16.378377416887531</v>
          </cell>
          <cell r="P97">
            <v>349.84398518695497</v>
          </cell>
          <cell r="Q97">
            <v>0.75348226018396858</v>
          </cell>
          <cell r="R97">
            <v>0.96064983872894527</v>
          </cell>
          <cell r="S97">
            <v>0.54986644367459081</v>
          </cell>
          <cell r="T97">
            <v>1.4619543662644845</v>
          </cell>
          <cell r="U97">
            <v>0.75295974196631232</v>
          </cell>
          <cell r="V97">
            <v>1.1647353960100346</v>
          </cell>
          <cell r="W97">
            <v>21</v>
          </cell>
          <cell r="X97">
            <v>24</v>
          </cell>
          <cell r="Y97">
            <v>3.9846517739816032</v>
          </cell>
          <cell r="Z97">
            <v>20</v>
          </cell>
          <cell r="AA97">
            <v>26.000000000000007</v>
          </cell>
          <cell r="AB97">
            <v>0.28540437223748655</v>
          </cell>
          <cell r="AC97">
            <v>3.4115000000000006</v>
          </cell>
          <cell r="AD97">
            <v>1.0180000000000002</v>
          </cell>
          <cell r="AE97">
            <v>0.13713773742683072</v>
          </cell>
          <cell r="AF97">
            <v>0.94674829769442126</v>
          </cell>
          <cell r="AG97">
            <v>36.048453369857171</v>
          </cell>
          <cell r="AH97">
            <v>518.71997011686437</v>
          </cell>
        </row>
        <row r="98">
          <cell r="E98" t="str">
            <v>Kraftwerk (Gesamtanlage für Energieversorgung)</v>
          </cell>
          <cell r="F98" t="str">
            <v>Power Plant (Overall Facility for Energy Supply)</v>
          </cell>
          <cell r="G98">
            <v>5.1677190985254082</v>
          </cell>
          <cell r="H98">
            <v>20.057702911826961</v>
          </cell>
          <cell r="I98">
            <v>14.889983813301551</v>
          </cell>
          <cell r="J98">
            <v>308.09759885318363</v>
          </cell>
          <cell r="K98">
            <v>3089.8451591099092</v>
          </cell>
          <cell r="L98">
            <v>1497.7231007310695</v>
          </cell>
          <cell r="M98">
            <v>16.378377416887531</v>
          </cell>
          <cell r="N98">
            <v>308.09759885318363</v>
          </cell>
          <cell r="O98">
            <v>16.378377416887531</v>
          </cell>
          <cell r="P98">
            <v>349.84398518695497</v>
          </cell>
          <cell r="Q98">
            <v>0.75348226018396858</v>
          </cell>
          <cell r="R98">
            <v>0.96064983872894527</v>
          </cell>
          <cell r="S98">
            <v>0.54986644367459081</v>
          </cell>
          <cell r="T98">
            <v>1.4619543662644845</v>
          </cell>
          <cell r="U98">
            <v>0.75295974196631232</v>
          </cell>
          <cell r="V98">
            <v>1.1647353960100346</v>
          </cell>
          <cell r="W98">
            <v>21</v>
          </cell>
          <cell r="X98">
            <v>24</v>
          </cell>
          <cell r="Y98">
            <v>3.9846517739816032</v>
          </cell>
          <cell r="Z98">
            <v>20</v>
          </cell>
          <cell r="AA98">
            <v>26.000000000000007</v>
          </cell>
          <cell r="AB98">
            <v>0.28540437223748655</v>
          </cell>
          <cell r="AC98">
            <v>3.4115000000000006</v>
          </cell>
          <cell r="AD98">
            <v>1.0180000000000002</v>
          </cell>
          <cell r="AE98">
            <v>0.13713773742683072</v>
          </cell>
          <cell r="AF98">
            <v>0.94674829769442126</v>
          </cell>
          <cell r="AG98">
            <v>36.048453369857171</v>
          </cell>
          <cell r="AH98">
            <v>518.71997011686437</v>
          </cell>
        </row>
        <row r="99">
          <cell r="E99" t="str">
            <v>Gebäude für Lenkung, Steuerung, Überwachung und Nachrichtenübermittlung (z.B. Stellwerk, Leuchtturm)</v>
          </cell>
          <cell r="F99" t="str">
            <v>Building for Control, Regulation, Monitoring, and Communication (e.g., Signal Box, Lighthouse)</v>
          </cell>
          <cell r="G99">
            <v>3.4891553280344878</v>
          </cell>
          <cell r="H99">
            <v>21.009295433113301</v>
          </cell>
          <cell r="I99">
            <v>17.520140105078813</v>
          </cell>
          <cell r="J99">
            <v>329.01054962630332</v>
          </cell>
          <cell r="K99">
            <v>3477.887781220531</v>
          </cell>
          <cell r="L99">
            <v>2286.4231442812879</v>
          </cell>
          <cell r="M99">
            <v>18.517041627374379</v>
          </cell>
          <cell r="N99">
            <v>329.01054962630332</v>
          </cell>
          <cell r="O99">
            <v>18.517041627374379</v>
          </cell>
          <cell r="P99">
            <v>389.88539199704729</v>
          </cell>
          <cell r="Q99">
            <v>0.74227309076369452</v>
          </cell>
          <cell r="R99">
            <v>0.96804582013348495</v>
          </cell>
          <cell r="S99">
            <v>0.60811636883708053</v>
          </cell>
          <cell r="T99">
            <v>1.4094448758957956</v>
          </cell>
          <cell r="U99">
            <v>0.6479119890505336</v>
          </cell>
          <cell r="V99">
            <v>1.1686344692892074</v>
          </cell>
          <cell r="W99">
            <v>21</v>
          </cell>
          <cell r="X99">
            <v>24</v>
          </cell>
          <cell r="Y99">
            <v>4</v>
          </cell>
          <cell r="Z99">
            <v>20</v>
          </cell>
          <cell r="AA99">
            <v>26</v>
          </cell>
          <cell r="AB99">
            <v>3.8061698397564049E-2</v>
          </cell>
          <cell r="AC99">
            <v>1.2612499999999998</v>
          </cell>
          <cell r="AD99">
            <v>0.27500000000000002</v>
          </cell>
          <cell r="AE99">
            <v>2.0352435948697442E-2</v>
          </cell>
          <cell r="AF99">
            <v>0.98842290007074085</v>
          </cell>
          <cell r="AG99">
            <v>9.7951636804526494</v>
          </cell>
          <cell r="AH99">
            <v>904.86494678701342</v>
          </cell>
        </row>
        <row r="100">
          <cell r="E100" t="str">
            <v>Gebäude für Energieversorgung (z.B. Fernheizwerk, Tankstelle)</v>
          </cell>
          <cell r="F100" t="str">
            <v>Building for Energy Supply (e.g., District Heating Plant, Gas Station)</v>
          </cell>
          <cell r="G100">
            <v>5.1677190985254082</v>
          </cell>
          <cell r="H100">
            <v>20.057702911826961</v>
          </cell>
          <cell r="I100">
            <v>14.889983813301551</v>
          </cell>
          <cell r="J100">
            <v>308.09759885318363</v>
          </cell>
          <cell r="K100">
            <v>3089.8451591099092</v>
          </cell>
          <cell r="L100">
            <v>1497.7231007310695</v>
          </cell>
          <cell r="M100">
            <v>16.378377416887531</v>
          </cell>
          <cell r="N100">
            <v>308.09759885318363</v>
          </cell>
          <cell r="O100">
            <v>16.378377416887531</v>
          </cell>
          <cell r="P100">
            <v>349.84398518695497</v>
          </cell>
          <cell r="Q100">
            <v>0.75348226018396858</v>
          </cell>
          <cell r="R100">
            <v>0.96064983872894527</v>
          </cell>
          <cell r="S100">
            <v>0.54986644367459081</v>
          </cell>
          <cell r="T100">
            <v>1.4619543662644845</v>
          </cell>
          <cell r="U100">
            <v>0.75295974196631232</v>
          </cell>
          <cell r="V100">
            <v>1.1647353960100346</v>
          </cell>
          <cell r="W100">
            <v>21</v>
          </cell>
          <cell r="X100">
            <v>24</v>
          </cell>
          <cell r="Y100">
            <v>3.9846517739816032</v>
          </cell>
          <cell r="Z100">
            <v>20</v>
          </cell>
          <cell r="AA100">
            <v>26.000000000000007</v>
          </cell>
          <cell r="AB100">
            <v>0.28540437223748655</v>
          </cell>
          <cell r="AC100">
            <v>3.4115000000000006</v>
          </cell>
          <cell r="AD100">
            <v>1.0180000000000002</v>
          </cell>
          <cell r="AE100">
            <v>0.13713773742683072</v>
          </cell>
          <cell r="AF100">
            <v>0.94674829769442126</v>
          </cell>
          <cell r="AG100">
            <v>36.048453369857171</v>
          </cell>
          <cell r="AH100">
            <v>518.71997011686437</v>
          </cell>
        </row>
        <row r="101">
          <cell r="E101" t="str">
            <v>Gebäude für Wasserversorgung</v>
          </cell>
          <cell r="F101" t="str">
            <v>Building for Water Supply</v>
          </cell>
          <cell r="G101">
            <v>5.1677190985254082</v>
          </cell>
          <cell r="H101">
            <v>20.057702911826961</v>
          </cell>
          <cell r="I101">
            <v>14.889983813301551</v>
          </cell>
          <cell r="J101">
            <v>308.09759885318363</v>
          </cell>
          <cell r="K101">
            <v>3089.8451591099092</v>
          </cell>
          <cell r="L101">
            <v>1497.7231007310695</v>
          </cell>
          <cell r="M101">
            <v>16.378377416887531</v>
          </cell>
          <cell r="N101">
            <v>308.09759885318363</v>
          </cell>
          <cell r="O101">
            <v>16.378377416887531</v>
          </cell>
          <cell r="P101">
            <v>349.84398518695497</v>
          </cell>
          <cell r="Q101">
            <v>0.75348226018396858</v>
          </cell>
          <cell r="R101">
            <v>0.96064983872894527</v>
          </cell>
          <cell r="S101">
            <v>0.54986644367459081</v>
          </cell>
          <cell r="T101">
            <v>1.4619543662644845</v>
          </cell>
          <cell r="U101">
            <v>0.75295974196631232</v>
          </cell>
          <cell r="V101">
            <v>1.1647353960100346</v>
          </cell>
          <cell r="W101">
            <v>21</v>
          </cell>
          <cell r="X101">
            <v>24</v>
          </cell>
          <cell r="Y101">
            <v>3.9846517739816032</v>
          </cell>
          <cell r="Z101">
            <v>20</v>
          </cell>
          <cell r="AA101">
            <v>26.000000000000007</v>
          </cell>
          <cell r="AB101">
            <v>0.28540437223748655</v>
          </cell>
          <cell r="AC101">
            <v>3.4115000000000006</v>
          </cell>
          <cell r="AD101">
            <v>1.0180000000000002</v>
          </cell>
          <cell r="AE101">
            <v>0.13713773742683072</v>
          </cell>
          <cell r="AF101">
            <v>0.94674829769442126</v>
          </cell>
          <cell r="AG101">
            <v>36.048453369857171</v>
          </cell>
          <cell r="AH101">
            <v>518.71997011686437</v>
          </cell>
        </row>
        <row r="102">
          <cell r="E102" t="str">
            <v>Gebäude für Abwasserbehandlung</v>
          </cell>
          <cell r="F102" t="str">
            <v>Building for Wastewater Treatment</v>
          </cell>
          <cell r="G102">
            <v>5.1677190985254082</v>
          </cell>
          <cell r="H102">
            <v>20.057702911826961</v>
          </cell>
          <cell r="I102">
            <v>14.889983813301551</v>
          </cell>
          <cell r="J102">
            <v>308.09759885318363</v>
          </cell>
          <cell r="K102">
            <v>3089.8451591099092</v>
          </cell>
          <cell r="L102">
            <v>1497.7231007310695</v>
          </cell>
          <cell r="M102">
            <v>16.378377416887531</v>
          </cell>
          <cell r="N102">
            <v>308.09759885318363</v>
          </cell>
          <cell r="O102">
            <v>16.378377416887531</v>
          </cell>
          <cell r="P102">
            <v>349.84398518695497</v>
          </cell>
          <cell r="Q102">
            <v>0.75348226018396858</v>
          </cell>
          <cell r="R102">
            <v>0.96064983872894527</v>
          </cell>
          <cell r="S102">
            <v>0.54986644367459081</v>
          </cell>
          <cell r="T102">
            <v>1.4619543662644845</v>
          </cell>
          <cell r="U102">
            <v>0.75295974196631232</v>
          </cell>
          <cell r="V102">
            <v>1.1647353960100346</v>
          </cell>
          <cell r="W102">
            <v>21</v>
          </cell>
          <cell r="X102">
            <v>24</v>
          </cell>
          <cell r="Y102">
            <v>3.9846517739816032</v>
          </cell>
          <cell r="Z102">
            <v>20</v>
          </cell>
          <cell r="AA102">
            <v>26.000000000000007</v>
          </cell>
          <cell r="AB102">
            <v>0.28540437223748655</v>
          </cell>
          <cell r="AC102">
            <v>3.4115000000000006</v>
          </cell>
          <cell r="AD102">
            <v>1.0180000000000002</v>
          </cell>
          <cell r="AE102">
            <v>0.13713773742683072</v>
          </cell>
          <cell r="AF102">
            <v>0.94674829769442126</v>
          </cell>
          <cell r="AG102">
            <v>36.048453369857171</v>
          </cell>
          <cell r="AH102">
            <v>518.71997011686437</v>
          </cell>
        </row>
        <row r="103">
          <cell r="E103" t="str">
            <v>Gebäude für Abfallbehandlung</v>
          </cell>
          <cell r="F103" t="str">
            <v>Building for Waste Treatment</v>
          </cell>
          <cell r="G103">
            <v>5.1677190985254082</v>
          </cell>
          <cell r="H103">
            <v>20.057702911826961</v>
          </cell>
          <cell r="I103">
            <v>14.889983813301551</v>
          </cell>
          <cell r="J103">
            <v>308.09759885318363</v>
          </cell>
          <cell r="K103">
            <v>3089.8451591099092</v>
          </cell>
          <cell r="L103">
            <v>1497.7231007310695</v>
          </cell>
          <cell r="M103">
            <v>16.378377416887531</v>
          </cell>
          <cell r="N103">
            <v>308.09759885318363</v>
          </cell>
          <cell r="O103">
            <v>16.378377416887531</v>
          </cell>
          <cell r="P103">
            <v>349.84398518695497</v>
          </cell>
          <cell r="Q103">
            <v>0.75348226018396858</v>
          </cell>
          <cell r="R103">
            <v>0.96064983872894527</v>
          </cell>
          <cell r="S103">
            <v>0.54986644367459081</v>
          </cell>
          <cell r="T103">
            <v>1.4619543662644845</v>
          </cell>
          <cell r="U103">
            <v>0.75295974196631232</v>
          </cell>
          <cell r="V103">
            <v>1.1647353960100346</v>
          </cell>
          <cell r="W103">
            <v>21</v>
          </cell>
          <cell r="X103">
            <v>24</v>
          </cell>
          <cell r="Y103">
            <v>3.9846517739816032</v>
          </cell>
          <cell r="Z103">
            <v>20</v>
          </cell>
          <cell r="AA103">
            <v>26.000000000000007</v>
          </cell>
          <cell r="AB103">
            <v>0.28540437223748655</v>
          </cell>
          <cell r="AC103">
            <v>3.4115000000000006</v>
          </cell>
          <cell r="AD103">
            <v>1.0180000000000002</v>
          </cell>
          <cell r="AE103">
            <v>0.13713773742683072</v>
          </cell>
          <cell r="AF103">
            <v>0.94674829769442126</v>
          </cell>
          <cell r="AG103">
            <v>36.048453369857171</v>
          </cell>
          <cell r="AH103">
            <v>518.71997011686437</v>
          </cell>
        </row>
        <row r="104">
          <cell r="E104" t="str">
            <v/>
          </cell>
          <cell r="G104">
            <v>7.4444486383452544</v>
          </cell>
          <cell r="H104">
            <v>18.967595825391136</v>
          </cell>
          <cell r="I104">
            <v>11.523147187045879</v>
          </cell>
          <cell r="J104">
            <v>268.65629560235647</v>
          </cell>
          <cell r="K104">
            <v>2591.5349236605207</v>
          </cell>
          <cell r="L104">
            <v>504.23111329193949</v>
          </cell>
          <cell r="M104">
            <v>13.659539132239983</v>
          </cell>
          <cell r="N104">
            <v>268.65629560235647</v>
          </cell>
          <cell r="O104">
            <v>13.659539132239983</v>
          </cell>
          <cell r="P104">
            <v>260.62626007858137</v>
          </cell>
          <cell r="Q104">
            <v>0.7783811050858449</v>
          </cell>
          <cell r="R104">
            <v>0.95204961863941817</v>
          </cell>
          <cell r="S104">
            <v>0.42078263675179378</v>
          </cell>
          <cell r="T104">
            <v>1.6412323916557614</v>
          </cell>
          <cell r="U104">
            <v>0.98063487488064571</v>
          </cell>
          <cell r="V104">
            <v>1.1478437609015733</v>
          </cell>
          <cell r="W104">
            <v>21</v>
          </cell>
          <cell r="X104">
            <v>23.999999999999996</v>
          </cell>
          <cell r="Y104">
            <v>3.9526546201380004</v>
          </cell>
          <cell r="Z104">
            <v>20</v>
          </cell>
          <cell r="AA104">
            <v>26</v>
          </cell>
          <cell r="AB104">
            <v>0.79822364746788688</v>
          </cell>
          <cell r="AC104">
            <v>6.2880500000000001</v>
          </cell>
          <cell r="AD104">
            <v>1.8967500000000002</v>
          </cell>
          <cell r="AE104">
            <v>0.38680051819835987</v>
          </cell>
          <cell r="AF104">
            <v>0.86870206378556669</v>
          </cell>
          <cell r="AG104">
            <v>77.626398928038952</v>
          </cell>
          <cell r="AH104">
            <v>11.116273803008287</v>
          </cell>
        </row>
        <row r="105">
          <cell r="E105" t="str">
            <v>Park-/Garagengebäude, Fahrradparkhaus</v>
          </cell>
          <cell r="F105" t="str">
            <v>Park/Garage Building, Bicycle Parking Garage</v>
          </cell>
          <cell r="G105">
            <v>2.4412736995624704</v>
          </cell>
          <cell r="H105">
            <v>21.812980068060284</v>
          </cell>
          <cell r="I105">
            <v>19.371706368497815</v>
          </cell>
          <cell r="J105">
            <v>342.81115215638243</v>
          </cell>
          <cell r="K105">
            <v>3729.9864203532661</v>
          </cell>
          <cell r="L105">
            <v>2910.8505590666027</v>
          </cell>
          <cell r="M105">
            <v>20.038032733754662</v>
          </cell>
          <cell r="N105">
            <v>342.84963209829448</v>
          </cell>
          <cell r="O105">
            <v>20.038032733754662</v>
          </cell>
          <cell r="P105">
            <v>165.71261506339152</v>
          </cell>
          <cell r="Q105">
            <v>0.14519820516166593</v>
          </cell>
          <cell r="R105">
            <v>0.99147292852434443</v>
          </cell>
          <cell r="S105">
            <v>0.60901718882274791</v>
          </cell>
          <cell r="T105">
            <v>2.2320642062926415</v>
          </cell>
          <cell r="U105">
            <v>0.50447412976774841</v>
          </cell>
          <cell r="V105">
            <v>1.7321909809708322</v>
          </cell>
          <cell r="W105">
            <v>13.618127566026562</v>
          </cell>
          <cell r="X105">
            <v>25.692970216524959</v>
          </cell>
          <cell r="Y105">
            <v>0.76716623669514172</v>
          </cell>
          <cell r="Z105">
            <v>15.214430894308942</v>
          </cell>
          <cell r="AA105">
            <v>27.337398373983739</v>
          </cell>
          <cell r="AB105">
            <v>5.6175696068688372E-2</v>
          </cell>
          <cell r="AC105">
            <v>1.8838922764227641</v>
          </cell>
          <cell r="AD105">
            <v>0.3902439024390244</v>
          </cell>
          <cell r="AE105">
            <v>2.687238378221022E-2</v>
          </cell>
          <cell r="AF105">
            <v>0.98747226934620902</v>
          </cell>
          <cell r="AG105">
            <v>7.9120725976340962</v>
          </cell>
          <cell r="AH105">
            <v>20.636914600550966</v>
          </cell>
        </row>
        <row r="106">
          <cell r="E106" t="str">
            <v>Halle für sonstige Verkehrsmittel (z.B. für Flugzeuge, Schienenfahrzeuge)</v>
          </cell>
          <cell r="F106" t="str">
            <v>Hall for Other Means of Transportation (e.g., for Aircraft, Rail Vehicles)</v>
          </cell>
          <cell r="G106">
            <v>2.4412736995624704</v>
          </cell>
          <cell r="H106">
            <v>21.812980068060284</v>
          </cell>
          <cell r="I106">
            <v>19.371706368497815</v>
          </cell>
          <cell r="J106">
            <v>342.81115215638243</v>
          </cell>
          <cell r="K106">
            <v>3729.9864203532661</v>
          </cell>
          <cell r="L106">
            <v>2910.8505590666027</v>
          </cell>
          <cell r="M106">
            <v>20.038032733754662</v>
          </cell>
          <cell r="N106">
            <v>342.84963209829448</v>
          </cell>
          <cell r="O106">
            <v>20.038032733754662</v>
          </cell>
          <cell r="P106">
            <v>165.71261506339152</v>
          </cell>
          <cell r="Q106">
            <v>0.14519820516166593</v>
          </cell>
          <cell r="R106">
            <v>0.99147292852434443</v>
          </cell>
          <cell r="S106">
            <v>0.60901718882274791</v>
          </cell>
          <cell r="T106">
            <v>2.2320642062926415</v>
          </cell>
          <cell r="U106">
            <v>0.50447412976774841</v>
          </cell>
          <cell r="V106">
            <v>1.7321909809708322</v>
          </cell>
          <cell r="W106">
            <v>13.618127566026562</v>
          </cell>
          <cell r="X106">
            <v>25.692970216524959</v>
          </cell>
          <cell r="Y106">
            <v>0.76716623669514172</v>
          </cell>
          <cell r="Z106">
            <v>15.214430894308942</v>
          </cell>
          <cell r="AA106">
            <v>27.337398373983739</v>
          </cell>
          <cell r="AB106">
            <v>5.6175696068688372E-2</v>
          </cell>
          <cell r="AC106">
            <v>1.8838922764227641</v>
          </cell>
          <cell r="AD106">
            <v>0.3902439024390244</v>
          </cell>
          <cell r="AE106">
            <v>2.687238378221022E-2</v>
          </cell>
          <cell r="AF106">
            <v>0.98747226934620902</v>
          </cell>
          <cell r="AG106">
            <v>7.9120725976340962</v>
          </cell>
          <cell r="AH106">
            <v>20.636914600550966</v>
          </cell>
        </row>
        <row r="107">
          <cell r="E107" t="str">
            <v>Gebäude zur Pflege von Fahrzeugen (z.B. Waschstraße)</v>
          </cell>
          <cell r="F107" t="str">
            <v>Building for Vehicle Maintenance (e.g., Car Wash)</v>
          </cell>
          <cell r="G107">
            <v>5.1677190985254082</v>
          </cell>
          <cell r="H107">
            <v>20.057702911826961</v>
          </cell>
          <cell r="I107">
            <v>14.889983813301551</v>
          </cell>
          <cell r="J107">
            <v>308.09759885318363</v>
          </cell>
          <cell r="K107">
            <v>3089.8451591099092</v>
          </cell>
          <cell r="L107">
            <v>1497.7231007310695</v>
          </cell>
          <cell r="M107">
            <v>16.378377416887531</v>
          </cell>
          <cell r="N107">
            <v>308.09759885318363</v>
          </cell>
          <cell r="O107">
            <v>16.378377416887531</v>
          </cell>
          <cell r="P107">
            <v>349.84398518695497</v>
          </cell>
          <cell r="Q107">
            <v>0.75348226018396858</v>
          </cell>
          <cell r="R107">
            <v>0.96064983872894527</v>
          </cell>
          <cell r="S107">
            <v>0.54986644367459081</v>
          </cell>
          <cell r="T107">
            <v>1.4619543662644845</v>
          </cell>
          <cell r="U107">
            <v>0.75295974196631232</v>
          </cell>
          <cell r="V107">
            <v>1.1647353960100346</v>
          </cell>
          <cell r="W107">
            <v>21</v>
          </cell>
          <cell r="X107">
            <v>24</v>
          </cell>
          <cell r="Y107">
            <v>3.9846517739816032</v>
          </cell>
          <cell r="Z107">
            <v>20</v>
          </cell>
          <cell r="AA107">
            <v>26.000000000000007</v>
          </cell>
          <cell r="AB107">
            <v>0.28540437223748655</v>
          </cell>
          <cell r="AC107">
            <v>3.4115000000000006</v>
          </cell>
          <cell r="AD107">
            <v>1.0180000000000002</v>
          </cell>
          <cell r="AE107">
            <v>0.13713773742683072</v>
          </cell>
          <cell r="AF107">
            <v>0.94674829769442126</v>
          </cell>
          <cell r="AG107">
            <v>36.048453369857171</v>
          </cell>
          <cell r="AH107">
            <v>518.71997011686437</v>
          </cell>
        </row>
        <row r="108">
          <cell r="E108" t="str">
            <v>Empfangsgebäude (Bahnhof, Busbahnhof, Flughafen, Schiffsterminal)</v>
          </cell>
          <cell r="F108" t="str">
            <v>Terminal Building (Train Station, Bus Station, Airport, Ship Terminal)</v>
          </cell>
          <cell r="G108">
            <v>7.4444486383452544</v>
          </cell>
          <cell r="H108">
            <v>18.967595825391136</v>
          </cell>
          <cell r="I108">
            <v>11.523147187045879</v>
          </cell>
          <cell r="J108">
            <v>268.65629560235647</v>
          </cell>
          <cell r="K108">
            <v>2591.5349236605207</v>
          </cell>
          <cell r="L108">
            <v>504.23111329193949</v>
          </cell>
          <cell r="M108">
            <v>13.659539132239983</v>
          </cell>
          <cell r="N108">
            <v>268.65629560235647</v>
          </cell>
          <cell r="O108">
            <v>13.659539132239983</v>
          </cell>
          <cell r="P108">
            <v>260.62626007858137</v>
          </cell>
          <cell r="Q108">
            <v>0.7783811050858449</v>
          </cell>
          <cell r="R108">
            <v>0.95204961863941817</v>
          </cell>
          <cell r="S108">
            <v>0.42078263675179378</v>
          </cell>
          <cell r="T108">
            <v>1.6412323916557614</v>
          </cell>
          <cell r="U108">
            <v>0.98063487488064571</v>
          </cell>
          <cell r="V108">
            <v>1.1478437609015733</v>
          </cell>
          <cell r="W108">
            <v>21</v>
          </cell>
          <cell r="X108">
            <v>23.999999999999996</v>
          </cell>
          <cell r="Y108">
            <v>3.9526546201380004</v>
          </cell>
          <cell r="Z108">
            <v>20</v>
          </cell>
          <cell r="AA108">
            <v>26</v>
          </cell>
          <cell r="AB108">
            <v>0.79822364746788688</v>
          </cell>
          <cell r="AC108">
            <v>6.2880500000000001</v>
          </cell>
          <cell r="AD108">
            <v>1.8967500000000002</v>
          </cell>
          <cell r="AE108">
            <v>0.38680051819835987</v>
          </cell>
          <cell r="AF108">
            <v>0.86870206378556669</v>
          </cell>
          <cell r="AG108">
            <v>77.626398928038952</v>
          </cell>
          <cell r="AH108">
            <v>11.116273803008287</v>
          </cell>
        </row>
        <row r="109">
          <cell r="E109" t="str">
            <v/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7"/>
  <sheetViews>
    <sheetView workbookViewId="0">
      <selection activeCell="E2" sqref="E2"/>
    </sheetView>
  </sheetViews>
  <sheetFormatPr baseColWidth="10" defaultRowHeight="15" x14ac:dyDescent="0.25"/>
  <cols>
    <col min="1" max="1" width="79.42578125" customWidth="1"/>
    <col min="2" max="2" width="4.5703125" style="3" bestFit="1" customWidth="1"/>
    <col min="3" max="3" width="28.140625" customWidth="1"/>
    <col min="4" max="4" width="23.5703125" customWidth="1"/>
    <col min="5" max="5" width="25.85546875" customWidth="1"/>
    <col min="6" max="6" width="24.7109375" customWidth="1"/>
    <col min="7" max="8" width="11.42578125" customWidth="1"/>
  </cols>
  <sheetData>
    <row r="1" spans="1:9" x14ac:dyDescent="0.25">
      <c r="A1" s="1" t="s">
        <v>110</v>
      </c>
      <c r="B1" s="3" t="s">
        <v>89</v>
      </c>
      <c r="C1" t="s">
        <v>168</v>
      </c>
      <c r="D1" t="s">
        <v>169</v>
      </c>
      <c r="E1" t="s">
        <v>170</v>
      </c>
      <c r="F1" t="s">
        <v>171</v>
      </c>
      <c r="G1" t="s">
        <v>337</v>
      </c>
      <c r="H1" t="s">
        <v>338</v>
      </c>
    </row>
    <row r="2" spans="1:9" x14ac:dyDescent="0.25">
      <c r="A2" s="1" t="s">
        <v>90</v>
      </c>
      <c r="B2" s="3">
        <v>1</v>
      </c>
      <c r="C2" s="3">
        <v>70</v>
      </c>
      <c r="D2" s="3" t="s">
        <v>5</v>
      </c>
      <c r="E2" s="3" t="s">
        <v>6</v>
      </c>
      <c r="F2" s="3" t="s">
        <v>116</v>
      </c>
      <c r="G2" s="13">
        <v>7</v>
      </c>
      <c r="H2" s="13">
        <v>18</v>
      </c>
      <c r="I2">
        <v>0.114</v>
      </c>
    </row>
    <row r="3" spans="1:9" x14ac:dyDescent="0.25">
      <c r="A3" s="1" t="s">
        <v>92</v>
      </c>
      <c r="B3" s="3" t="s">
        <v>91</v>
      </c>
      <c r="C3" s="3">
        <v>70</v>
      </c>
      <c r="D3" s="3" t="s">
        <v>5</v>
      </c>
      <c r="E3" s="3" t="s">
        <v>6</v>
      </c>
      <c r="F3" s="3" t="s">
        <v>116</v>
      </c>
      <c r="G3" s="13">
        <v>7</v>
      </c>
      <c r="H3" s="13">
        <v>18</v>
      </c>
      <c r="I3">
        <v>8.5000000000000006E-2</v>
      </c>
    </row>
    <row r="4" spans="1:9" x14ac:dyDescent="0.25">
      <c r="A4" s="1" t="s">
        <v>94</v>
      </c>
      <c r="B4" s="3" t="s">
        <v>93</v>
      </c>
      <c r="C4" s="3">
        <v>70</v>
      </c>
      <c r="D4" s="3" t="s">
        <v>30</v>
      </c>
      <c r="E4" s="3" t="s">
        <v>105</v>
      </c>
      <c r="F4" s="3" t="s">
        <v>31</v>
      </c>
      <c r="G4" s="13">
        <v>7</v>
      </c>
      <c r="H4" s="13">
        <v>18</v>
      </c>
      <c r="I4">
        <v>1.9E-2</v>
      </c>
    </row>
    <row r="5" spans="1:9" x14ac:dyDescent="0.25">
      <c r="A5" s="1" t="s">
        <v>96</v>
      </c>
      <c r="B5" s="3" t="s">
        <v>95</v>
      </c>
      <c r="C5" s="3">
        <v>70</v>
      </c>
      <c r="D5" s="3" t="s">
        <v>172</v>
      </c>
      <c r="E5" s="3" t="s">
        <v>91</v>
      </c>
      <c r="F5" s="3" t="s">
        <v>93</v>
      </c>
      <c r="G5" s="13">
        <v>7</v>
      </c>
      <c r="H5" s="13">
        <v>18</v>
      </c>
      <c r="I5">
        <v>9.5000000000000001E-2</v>
      </c>
    </row>
    <row r="6" spans="1:9" x14ac:dyDescent="0.25">
      <c r="A6" s="1" t="s">
        <v>19</v>
      </c>
      <c r="B6" s="3" t="s">
        <v>97</v>
      </c>
      <c r="C6" s="3">
        <v>70</v>
      </c>
      <c r="D6" s="3" t="s">
        <v>20</v>
      </c>
      <c r="E6" s="3" t="s">
        <v>95</v>
      </c>
      <c r="F6" s="3" t="s">
        <v>21</v>
      </c>
      <c r="G6" s="13">
        <v>7</v>
      </c>
      <c r="H6" s="13">
        <v>18</v>
      </c>
    </row>
    <row r="7" spans="1:9" x14ac:dyDescent="0.25">
      <c r="A7" s="1" t="s">
        <v>99</v>
      </c>
      <c r="B7" s="3" t="s">
        <v>98</v>
      </c>
      <c r="C7" s="3">
        <v>70</v>
      </c>
      <c r="D7" s="3" t="s">
        <v>172</v>
      </c>
      <c r="E7" s="3" t="s">
        <v>91</v>
      </c>
      <c r="F7" s="3" t="s">
        <v>93</v>
      </c>
      <c r="G7" s="13">
        <v>8</v>
      </c>
      <c r="H7" s="13">
        <v>20</v>
      </c>
    </row>
    <row r="8" spans="1:9" x14ac:dyDescent="0.25">
      <c r="A8" s="1" t="s">
        <v>101</v>
      </c>
      <c r="B8" s="3" t="s">
        <v>100</v>
      </c>
      <c r="C8" s="3">
        <v>70</v>
      </c>
      <c r="D8" s="3" t="s">
        <v>173</v>
      </c>
      <c r="E8" s="3" t="s">
        <v>174</v>
      </c>
      <c r="F8" s="3" t="s">
        <v>175</v>
      </c>
      <c r="G8" s="13">
        <v>8</v>
      </c>
      <c r="H8" s="13">
        <v>20</v>
      </c>
    </row>
    <row r="9" spans="1:9" x14ac:dyDescent="0.25">
      <c r="A9" s="1" t="s">
        <v>242</v>
      </c>
      <c r="B9" s="3" t="s">
        <v>102</v>
      </c>
      <c r="C9" s="3" t="s">
        <v>176</v>
      </c>
      <c r="D9" s="3" t="s">
        <v>91</v>
      </c>
      <c r="E9" s="3" t="s">
        <v>95</v>
      </c>
      <c r="F9" s="3" t="s">
        <v>98</v>
      </c>
      <c r="G9" s="13">
        <v>8</v>
      </c>
      <c r="H9" s="13">
        <v>15</v>
      </c>
    </row>
    <row r="10" spans="1:9" x14ac:dyDescent="0.25">
      <c r="A10" s="1" t="s">
        <v>104</v>
      </c>
      <c r="B10" s="3" t="s">
        <v>103</v>
      </c>
      <c r="C10" s="3">
        <v>70</v>
      </c>
      <c r="D10" s="3" t="s">
        <v>91</v>
      </c>
      <c r="E10" s="3" t="s">
        <v>95</v>
      </c>
      <c r="F10" s="3" t="s">
        <v>98</v>
      </c>
      <c r="G10" s="13">
        <v>8</v>
      </c>
      <c r="H10" s="13">
        <v>18</v>
      </c>
      <c r="I10">
        <v>3.5999999999999997E-2</v>
      </c>
    </row>
    <row r="11" spans="1:9" x14ac:dyDescent="0.25">
      <c r="A11" s="1" t="s">
        <v>106</v>
      </c>
      <c r="B11" s="3" t="s">
        <v>105</v>
      </c>
      <c r="C11" s="2">
        <v>70</v>
      </c>
      <c r="D11" s="2" t="s">
        <v>91</v>
      </c>
      <c r="E11" s="2" t="s">
        <v>95</v>
      </c>
      <c r="F11" s="2" t="s">
        <v>98</v>
      </c>
      <c r="G11" s="13">
        <v>0</v>
      </c>
      <c r="H11" s="13">
        <v>24</v>
      </c>
    </row>
    <row r="12" spans="1:9" x14ac:dyDescent="0.25">
      <c r="A12" s="1" t="s">
        <v>108</v>
      </c>
      <c r="B12" s="3" t="s">
        <v>107</v>
      </c>
      <c r="C12" s="3" t="s">
        <v>177</v>
      </c>
      <c r="D12" s="3" t="s">
        <v>91</v>
      </c>
      <c r="E12" s="3" t="s">
        <v>95</v>
      </c>
      <c r="F12" s="3" t="s">
        <v>98</v>
      </c>
      <c r="G12" s="14">
        <v>21</v>
      </c>
      <c r="H12" s="14">
        <v>8</v>
      </c>
    </row>
    <row r="13" spans="1:9" x14ac:dyDescent="0.25">
      <c r="A13" s="1" t="s">
        <v>111</v>
      </c>
      <c r="B13" s="3" t="s">
        <v>109</v>
      </c>
      <c r="C13" s="3" t="s">
        <v>177</v>
      </c>
      <c r="D13" s="3" t="s">
        <v>172</v>
      </c>
      <c r="E13" s="3" t="s">
        <v>91</v>
      </c>
      <c r="F13" s="3" t="s">
        <v>93</v>
      </c>
      <c r="G13" s="13">
        <v>8</v>
      </c>
      <c r="H13" s="13">
        <v>15</v>
      </c>
    </row>
    <row r="14" spans="1:9" x14ac:dyDescent="0.25">
      <c r="A14" s="1" t="s">
        <v>112</v>
      </c>
      <c r="B14" s="3" t="s">
        <v>113</v>
      </c>
      <c r="C14" s="3" t="s">
        <v>177</v>
      </c>
      <c r="D14" s="3" t="s">
        <v>172</v>
      </c>
      <c r="E14" s="3" t="s">
        <v>91</v>
      </c>
      <c r="F14" s="3" t="s">
        <v>93</v>
      </c>
      <c r="G14" s="13">
        <v>10</v>
      </c>
      <c r="H14" s="13">
        <v>24</v>
      </c>
    </row>
    <row r="15" spans="1:9" x14ac:dyDescent="0.25">
      <c r="A15" s="1" t="s">
        <v>115</v>
      </c>
      <c r="B15" s="3" t="s">
        <v>114</v>
      </c>
      <c r="C15" s="3" t="s">
        <v>178</v>
      </c>
      <c r="D15" s="3" t="s">
        <v>179</v>
      </c>
      <c r="E15" s="3" t="s">
        <v>180</v>
      </c>
      <c r="F15" s="3" t="s">
        <v>181</v>
      </c>
      <c r="G15" s="13">
        <v>10</v>
      </c>
      <c r="H15" s="13">
        <v>23</v>
      </c>
    </row>
    <row r="16" spans="1:9" x14ac:dyDescent="0.25">
      <c r="A16" s="1" t="s">
        <v>117</v>
      </c>
      <c r="B16" s="3" t="s">
        <v>116</v>
      </c>
      <c r="C16" s="3" t="s">
        <v>178</v>
      </c>
      <c r="D16" s="3" t="s">
        <v>126</v>
      </c>
      <c r="E16" s="3" t="s">
        <v>148</v>
      </c>
      <c r="F16" s="3" t="s">
        <v>166</v>
      </c>
      <c r="G16" s="13">
        <v>10</v>
      </c>
      <c r="H16" s="13">
        <v>23</v>
      </c>
    </row>
    <row r="17" spans="1:9" x14ac:dyDescent="0.25">
      <c r="A17" s="1" t="s">
        <v>119</v>
      </c>
      <c r="B17" s="3" t="s">
        <v>118</v>
      </c>
      <c r="C17" s="3" t="s">
        <v>177</v>
      </c>
      <c r="D17" s="3" t="s">
        <v>182</v>
      </c>
      <c r="E17" s="3" t="s">
        <v>182</v>
      </c>
      <c r="F17" s="3" t="s">
        <v>182</v>
      </c>
      <c r="G17" s="13">
        <v>7</v>
      </c>
      <c r="H17" s="13">
        <v>18</v>
      </c>
      <c r="I17">
        <v>2.5999999999999999E-2</v>
      </c>
    </row>
    <row r="18" spans="1:9" x14ac:dyDescent="0.25">
      <c r="A18" s="1" t="s">
        <v>121</v>
      </c>
      <c r="B18" s="3" t="s">
        <v>120</v>
      </c>
      <c r="C18" s="3" t="s">
        <v>177</v>
      </c>
      <c r="D18" s="3" t="s">
        <v>172</v>
      </c>
      <c r="E18" s="3" t="s">
        <v>91</v>
      </c>
      <c r="F18" s="3" t="s">
        <v>93</v>
      </c>
      <c r="G18" s="13">
        <v>7</v>
      </c>
      <c r="H18" s="13">
        <v>18</v>
      </c>
      <c r="I18">
        <v>4.8000000000000001E-2</v>
      </c>
    </row>
    <row r="19" spans="1:9" x14ac:dyDescent="0.25">
      <c r="A19" s="1" t="s">
        <v>123</v>
      </c>
      <c r="B19" s="3" t="s">
        <v>122</v>
      </c>
      <c r="C19" s="3" t="s">
        <v>177</v>
      </c>
      <c r="D19" s="3" t="s">
        <v>182</v>
      </c>
      <c r="E19" s="3" t="s">
        <v>182</v>
      </c>
      <c r="F19" s="3" t="s">
        <v>182</v>
      </c>
      <c r="G19" s="13">
        <v>7</v>
      </c>
      <c r="H19" s="13">
        <v>18</v>
      </c>
      <c r="I19">
        <v>1.7000000000000001E-2</v>
      </c>
    </row>
    <row r="20" spans="1:9" x14ac:dyDescent="0.25">
      <c r="A20" s="1" t="s">
        <v>125</v>
      </c>
      <c r="B20" s="3" t="s">
        <v>124</v>
      </c>
      <c r="C20" s="3" t="s">
        <v>177</v>
      </c>
      <c r="D20" s="3" t="s">
        <v>182</v>
      </c>
      <c r="E20" s="3" t="s">
        <v>182</v>
      </c>
      <c r="F20" s="3" t="s">
        <v>182</v>
      </c>
      <c r="G20" s="13">
        <v>7</v>
      </c>
      <c r="H20" s="13">
        <v>18</v>
      </c>
      <c r="I20">
        <v>0.249</v>
      </c>
    </row>
    <row r="21" spans="1:9" x14ac:dyDescent="0.25">
      <c r="A21" s="1" t="s">
        <v>127</v>
      </c>
      <c r="B21" s="3" t="s">
        <v>126</v>
      </c>
      <c r="C21" s="3" t="s">
        <v>177</v>
      </c>
      <c r="D21" s="3" t="s">
        <v>182</v>
      </c>
      <c r="E21" s="3" t="s">
        <v>182</v>
      </c>
      <c r="F21" s="3" t="s">
        <v>182</v>
      </c>
      <c r="G21" s="13">
        <v>7</v>
      </c>
      <c r="H21" s="13">
        <v>18</v>
      </c>
      <c r="I21">
        <v>0.16500000000000001</v>
      </c>
    </row>
    <row r="22" spans="1:9" x14ac:dyDescent="0.25">
      <c r="A22" s="1" t="s">
        <v>17</v>
      </c>
      <c r="B22" s="3" t="s">
        <v>128</v>
      </c>
      <c r="C22" s="3" t="s">
        <v>177</v>
      </c>
      <c r="D22" s="3" t="s">
        <v>183</v>
      </c>
      <c r="E22" s="3" t="s">
        <v>184</v>
      </c>
      <c r="F22" s="3" t="s">
        <v>185</v>
      </c>
      <c r="G22" s="13">
        <v>0</v>
      </c>
      <c r="H22" s="13">
        <v>24</v>
      </c>
    </row>
    <row r="23" spans="1:9" x14ac:dyDescent="0.25">
      <c r="A23" s="1" t="s">
        <v>130</v>
      </c>
      <c r="B23" s="3" t="s">
        <v>129</v>
      </c>
      <c r="C23" s="3" t="s">
        <v>186</v>
      </c>
      <c r="D23" s="3" t="s">
        <v>137</v>
      </c>
      <c r="E23" s="3" t="s">
        <v>161</v>
      </c>
      <c r="F23" s="3" t="s">
        <v>187</v>
      </c>
      <c r="G23" s="13">
        <v>7</v>
      </c>
      <c r="H23" s="13">
        <v>16</v>
      </c>
    </row>
    <row r="24" spans="1:9" x14ac:dyDescent="0.25">
      <c r="A24" s="1" t="s">
        <v>131</v>
      </c>
      <c r="B24" s="3" t="s">
        <v>16</v>
      </c>
      <c r="C24" s="3" t="s">
        <v>188</v>
      </c>
      <c r="D24" s="3" t="s">
        <v>137</v>
      </c>
      <c r="E24" s="3" t="s">
        <v>161</v>
      </c>
      <c r="F24" s="3" t="s">
        <v>187</v>
      </c>
      <c r="G24" s="13">
        <v>7</v>
      </c>
      <c r="H24" s="13">
        <v>16</v>
      </c>
    </row>
    <row r="25" spans="1:9" x14ac:dyDescent="0.25">
      <c r="A25" s="1" t="s">
        <v>132</v>
      </c>
      <c r="B25" s="3" t="s">
        <v>33</v>
      </c>
      <c r="C25" s="3" t="s">
        <v>178</v>
      </c>
      <c r="D25" s="3" t="s">
        <v>137</v>
      </c>
      <c r="E25" s="3" t="s">
        <v>161</v>
      </c>
      <c r="F25" s="3" t="s">
        <v>187</v>
      </c>
      <c r="G25" s="13">
        <v>7</v>
      </c>
      <c r="H25" s="13">
        <v>16</v>
      </c>
      <c r="I25">
        <v>2.7E-2</v>
      </c>
    </row>
    <row r="26" spans="1:9" x14ac:dyDescent="0.25">
      <c r="A26" s="1" t="s">
        <v>134</v>
      </c>
      <c r="B26" s="3" t="s">
        <v>133</v>
      </c>
      <c r="C26" s="3" t="s">
        <v>177</v>
      </c>
      <c r="D26" s="3" t="s">
        <v>182</v>
      </c>
      <c r="E26" s="3" t="s">
        <v>182</v>
      </c>
      <c r="F26" s="3" t="s">
        <v>182</v>
      </c>
      <c r="G26" s="13">
        <v>19</v>
      </c>
      <c r="H26" s="13">
        <v>23</v>
      </c>
    </row>
    <row r="27" spans="1:9" x14ac:dyDescent="0.25">
      <c r="A27" s="1" t="s">
        <v>136</v>
      </c>
      <c r="B27" s="3" t="s">
        <v>135</v>
      </c>
      <c r="C27" s="3" t="s">
        <v>177</v>
      </c>
      <c r="D27" s="3" t="s">
        <v>182</v>
      </c>
      <c r="E27" s="3" t="s">
        <v>182</v>
      </c>
      <c r="F27" s="3" t="s">
        <v>182</v>
      </c>
      <c r="G27" s="13">
        <v>19</v>
      </c>
      <c r="H27" s="13">
        <v>23</v>
      </c>
    </row>
    <row r="28" spans="1:9" x14ac:dyDescent="0.25">
      <c r="A28" s="1" t="s">
        <v>189</v>
      </c>
      <c r="B28" s="3" t="s">
        <v>137</v>
      </c>
      <c r="C28" s="3" t="s">
        <v>177</v>
      </c>
      <c r="D28" s="3" t="s">
        <v>182</v>
      </c>
      <c r="E28" s="3" t="s">
        <v>182</v>
      </c>
      <c r="F28" s="3" t="s">
        <v>182</v>
      </c>
      <c r="G28" s="13">
        <v>13</v>
      </c>
      <c r="H28" s="13">
        <v>23</v>
      </c>
    </row>
    <row r="29" spans="1:9" x14ac:dyDescent="0.25">
      <c r="A29" s="1" t="s">
        <v>139</v>
      </c>
      <c r="B29" s="3" t="s">
        <v>138</v>
      </c>
      <c r="C29" s="3" t="s">
        <v>177</v>
      </c>
      <c r="D29" s="3" t="s">
        <v>172</v>
      </c>
      <c r="E29" s="3" t="s">
        <v>91</v>
      </c>
      <c r="F29" s="3" t="s">
        <v>93</v>
      </c>
      <c r="G29" s="13">
        <v>13</v>
      </c>
      <c r="H29" s="13">
        <v>18</v>
      </c>
    </row>
    <row r="30" spans="1:9" x14ac:dyDescent="0.25">
      <c r="A30" s="1" t="s">
        <v>141</v>
      </c>
      <c r="B30" s="3" t="s">
        <v>140</v>
      </c>
      <c r="C30" s="3" t="s">
        <v>177</v>
      </c>
      <c r="D30" s="3" t="s">
        <v>182</v>
      </c>
      <c r="E30" s="3" t="s">
        <v>182</v>
      </c>
      <c r="F30" s="3" t="s">
        <v>182</v>
      </c>
      <c r="G30" s="13">
        <v>10</v>
      </c>
      <c r="H30" s="13">
        <v>18</v>
      </c>
    </row>
    <row r="31" spans="1:9" x14ac:dyDescent="0.25">
      <c r="A31" s="1" t="s">
        <v>143</v>
      </c>
      <c r="B31" s="3" t="s">
        <v>142</v>
      </c>
      <c r="C31" s="3" t="s">
        <v>177</v>
      </c>
      <c r="D31" s="3" t="s">
        <v>182</v>
      </c>
      <c r="E31" s="3" t="s">
        <v>182</v>
      </c>
      <c r="F31" s="3" t="s">
        <v>182</v>
      </c>
      <c r="G31" s="13">
        <v>8</v>
      </c>
      <c r="H31" s="13">
        <v>20</v>
      </c>
      <c r="I31">
        <v>3.1E-2</v>
      </c>
    </row>
    <row r="32" spans="1:9" x14ac:dyDescent="0.25">
      <c r="A32" s="1" t="s">
        <v>144</v>
      </c>
      <c r="B32" s="3" t="s">
        <v>147</v>
      </c>
      <c r="C32" s="3" t="s">
        <v>177</v>
      </c>
      <c r="D32" s="3" t="s">
        <v>182</v>
      </c>
      <c r="E32" s="3" t="s">
        <v>182</v>
      </c>
      <c r="F32" s="3" t="s">
        <v>182</v>
      </c>
      <c r="G32" s="13">
        <v>8</v>
      </c>
      <c r="H32" s="13">
        <v>20</v>
      </c>
    </row>
    <row r="33" spans="1:9" x14ac:dyDescent="0.25">
      <c r="A33" s="1" t="s">
        <v>145</v>
      </c>
      <c r="B33" s="3" t="s">
        <v>148</v>
      </c>
      <c r="C33" s="3" t="s">
        <v>177</v>
      </c>
      <c r="D33" s="3" t="s">
        <v>182</v>
      </c>
      <c r="E33" s="3" t="s">
        <v>182</v>
      </c>
      <c r="F33" s="3" t="s">
        <v>182</v>
      </c>
      <c r="G33" s="13">
        <v>8</v>
      </c>
      <c r="H33" s="13">
        <v>20</v>
      </c>
    </row>
    <row r="34" spans="1:9" x14ac:dyDescent="0.25">
      <c r="A34" s="1" t="s">
        <v>146</v>
      </c>
      <c r="B34" s="3" t="s">
        <v>149</v>
      </c>
      <c r="C34" s="3" t="s">
        <v>190</v>
      </c>
      <c r="D34" s="3" t="s">
        <v>182</v>
      </c>
      <c r="E34" s="3" t="s">
        <v>182</v>
      </c>
      <c r="F34" s="3" t="s">
        <v>182</v>
      </c>
      <c r="G34" s="13">
        <v>8</v>
      </c>
      <c r="H34" s="13">
        <v>23</v>
      </c>
    </row>
    <row r="35" spans="1:9" x14ac:dyDescent="0.25">
      <c r="A35" s="1" t="s">
        <v>151</v>
      </c>
      <c r="B35" s="3" t="s">
        <v>150</v>
      </c>
      <c r="C35" s="3" t="s">
        <v>177</v>
      </c>
      <c r="D35" s="3" t="s">
        <v>182</v>
      </c>
      <c r="E35" s="3" t="s">
        <v>182</v>
      </c>
      <c r="F35" s="3" t="s">
        <v>182</v>
      </c>
      <c r="G35" s="13">
        <v>7</v>
      </c>
      <c r="H35" s="13">
        <v>18</v>
      </c>
    </row>
    <row r="36" spans="1:9" x14ac:dyDescent="0.25">
      <c r="A36" s="1" t="s">
        <v>152</v>
      </c>
      <c r="B36" s="3" t="s">
        <v>159</v>
      </c>
      <c r="C36" s="3" t="s">
        <v>177</v>
      </c>
      <c r="D36" s="3" t="s">
        <v>182</v>
      </c>
      <c r="E36" s="3" t="s">
        <v>182</v>
      </c>
      <c r="F36" s="3" t="s">
        <v>182</v>
      </c>
      <c r="G36" s="13">
        <v>9</v>
      </c>
      <c r="H36" s="13">
        <v>24</v>
      </c>
    </row>
    <row r="37" spans="1:9" x14ac:dyDescent="0.25">
      <c r="A37" s="1" t="s">
        <v>153</v>
      </c>
      <c r="B37" s="3" t="s">
        <v>160</v>
      </c>
      <c r="C37" s="3" t="s">
        <v>177</v>
      </c>
      <c r="D37" s="3" t="s">
        <v>166</v>
      </c>
      <c r="E37" s="3" t="s">
        <v>183</v>
      </c>
      <c r="F37" s="3" t="s">
        <v>176</v>
      </c>
      <c r="G37" s="13">
        <v>10</v>
      </c>
      <c r="H37" s="13">
        <v>22</v>
      </c>
    </row>
    <row r="38" spans="1:9" x14ac:dyDescent="0.25">
      <c r="A38" s="1" t="s">
        <v>14</v>
      </c>
      <c r="B38" s="3" t="s">
        <v>161</v>
      </c>
      <c r="C38" s="3" t="s">
        <v>191</v>
      </c>
      <c r="D38" s="3" t="s">
        <v>172</v>
      </c>
      <c r="E38" s="3" t="s">
        <v>91</v>
      </c>
      <c r="F38" s="3" t="s">
        <v>93</v>
      </c>
      <c r="G38" s="13">
        <v>8</v>
      </c>
      <c r="H38" s="13">
        <v>23</v>
      </c>
    </row>
    <row r="39" spans="1:9" x14ac:dyDescent="0.25">
      <c r="A39" s="1" t="s">
        <v>154</v>
      </c>
      <c r="B39" s="3" t="s">
        <v>162</v>
      </c>
      <c r="C39" s="3" t="s">
        <v>192</v>
      </c>
      <c r="D39" s="3" t="s">
        <v>98</v>
      </c>
      <c r="E39" s="3" t="s">
        <v>122</v>
      </c>
      <c r="F39" s="3" t="s">
        <v>193</v>
      </c>
      <c r="G39" s="13">
        <v>7</v>
      </c>
      <c r="H39" s="13">
        <v>18</v>
      </c>
      <c r="I39">
        <v>8.7999999999999995E-2</v>
      </c>
    </row>
    <row r="40" spans="1:9" x14ac:dyDescent="0.25">
      <c r="A40" s="1" t="s">
        <v>155</v>
      </c>
      <c r="B40" s="3" t="s">
        <v>163</v>
      </c>
      <c r="C40" s="3" t="s">
        <v>177</v>
      </c>
      <c r="D40" s="3" t="s">
        <v>95</v>
      </c>
      <c r="E40" s="3" t="s">
        <v>100</v>
      </c>
      <c r="F40" s="3" t="s">
        <v>105</v>
      </c>
      <c r="G40" s="13">
        <v>7</v>
      </c>
      <c r="H40" s="13">
        <v>18</v>
      </c>
    </row>
    <row r="41" spans="1:9" x14ac:dyDescent="0.25">
      <c r="A41" s="1" t="s">
        <v>156</v>
      </c>
      <c r="B41" s="3" t="s">
        <v>164</v>
      </c>
      <c r="C41" s="3" t="s">
        <v>177</v>
      </c>
      <c r="D41" s="3" t="s">
        <v>98</v>
      </c>
      <c r="E41" s="3" t="s">
        <v>21</v>
      </c>
      <c r="F41" s="3" t="s">
        <v>113</v>
      </c>
      <c r="G41" s="13">
        <v>0</v>
      </c>
      <c r="H41" s="13">
        <v>24</v>
      </c>
    </row>
    <row r="42" spans="1:9" x14ac:dyDescent="0.25">
      <c r="A42" s="1" t="s">
        <v>157</v>
      </c>
      <c r="B42" s="3" t="s">
        <v>165</v>
      </c>
      <c r="C42" s="3" t="s">
        <v>177</v>
      </c>
      <c r="D42" s="3" t="s">
        <v>182</v>
      </c>
      <c r="E42" s="3" t="s">
        <v>182</v>
      </c>
      <c r="F42" s="3" t="s">
        <v>182</v>
      </c>
      <c r="G42" s="13">
        <v>0</v>
      </c>
      <c r="H42" s="13">
        <v>24</v>
      </c>
    </row>
    <row r="43" spans="1:9" x14ac:dyDescent="0.25">
      <c r="A43" s="1" t="s">
        <v>158</v>
      </c>
      <c r="B43" s="3" t="s">
        <v>166</v>
      </c>
      <c r="C43" s="3" t="s">
        <v>177</v>
      </c>
      <c r="D43" s="3" t="s">
        <v>93</v>
      </c>
      <c r="E43" s="3" t="s">
        <v>97</v>
      </c>
      <c r="F43" s="3" t="s">
        <v>100</v>
      </c>
      <c r="G43" s="13">
        <v>8</v>
      </c>
      <c r="H43" s="13">
        <v>18</v>
      </c>
    </row>
    <row r="44" spans="1:9" x14ac:dyDescent="0.25">
      <c r="A44" s="1" t="s">
        <v>329</v>
      </c>
      <c r="B44" s="3" t="s">
        <v>167</v>
      </c>
      <c r="C44" s="3" t="s">
        <v>177</v>
      </c>
      <c r="D44" s="3" t="s">
        <v>182</v>
      </c>
      <c r="E44" s="3" t="s">
        <v>182</v>
      </c>
      <c r="F44" s="3" t="s">
        <v>182</v>
      </c>
      <c r="G44" s="13">
        <v>0</v>
      </c>
      <c r="H44" s="13">
        <v>24</v>
      </c>
    </row>
    <row r="45" spans="1:9" x14ac:dyDescent="0.25">
      <c r="A45" s="1" t="s">
        <v>348</v>
      </c>
      <c r="B45" s="1">
        <v>42</v>
      </c>
      <c r="C45" s="15">
        <v>80</v>
      </c>
      <c r="D45" s="3" t="s">
        <v>350</v>
      </c>
      <c r="E45" s="3" t="s">
        <v>352</v>
      </c>
      <c r="F45" s="3" t="s">
        <v>353</v>
      </c>
      <c r="G45" s="13">
        <v>0</v>
      </c>
      <c r="H45" s="13">
        <v>24</v>
      </c>
    </row>
    <row r="46" spans="1:9" x14ac:dyDescent="0.25">
      <c r="A46" s="1" t="s">
        <v>349</v>
      </c>
      <c r="B46" s="1">
        <v>43</v>
      </c>
      <c r="C46" s="15">
        <v>80</v>
      </c>
      <c r="D46" s="3" t="s">
        <v>351</v>
      </c>
      <c r="E46" s="3" t="s">
        <v>199</v>
      </c>
      <c r="F46" s="3" t="s">
        <v>354</v>
      </c>
      <c r="G46" s="13">
        <v>0</v>
      </c>
      <c r="H46" s="13">
        <v>24</v>
      </c>
    </row>
    <row r="47" spans="1:9" x14ac:dyDescent="0.25">
      <c r="A47" s="1" t="s">
        <v>343</v>
      </c>
      <c r="B47" s="1">
        <v>44</v>
      </c>
      <c r="C47" s="15">
        <v>80</v>
      </c>
      <c r="D47" s="3" t="s">
        <v>57</v>
      </c>
      <c r="E47" s="3" t="s">
        <v>198</v>
      </c>
      <c r="F47" s="3" t="s">
        <v>355</v>
      </c>
      <c r="G47" s="13">
        <v>0</v>
      </c>
      <c r="H47" s="13">
        <v>24</v>
      </c>
    </row>
    <row r="48" spans="1:9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6"/>
  <sheetViews>
    <sheetView zoomScale="85" zoomScaleNormal="85" workbookViewId="0">
      <selection activeCell="J41" sqref="J41"/>
    </sheetView>
  </sheetViews>
  <sheetFormatPr baseColWidth="10" defaultRowHeight="15" x14ac:dyDescent="0.25"/>
  <cols>
    <col min="1" max="1" width="34.85546875" bestFit="1" customWidth="1"/>
    <col min="2" max="2" width="22.7109375" bestFit="1" customWidth="1"/>
    <col min="3" max="3" width="8.5703125" bestFit="1" customWidth="1"/>
    <col min="4" max="4" width="28.140625" bestFit="1" customWidth="1"/>
    <col min="5" max="5" width="28.42578125" bestFit="1" customWidth="1"/>
    <col min="6" max="6" width="28" bestFit="1" customWidth="1"/>
    <col min="7" max="7" width="27.7109375" bestFit="1" customWidth="1"/>
    <col min="8" max="8" width="17.28515625" bestFit="1" customWidth="1"/>
    <col min="9" max="9" width="18.140625" bestFit="1" customWidth="1"/>
  </cols>
  <sheetData>
    <row r="1" spans="1:10" x14ac:dyDescent="0.25">
      <c r="A1" t="s">
        <v>110</v>
      </c>
      <c r="B1" t="s">
        <v>211</v>
      </c>
      <c r="C1" t="s">
        <v>89</v>
      </c>
      <c r="D1" t="s">
        <v>168</v>
      </c>
      <c r="E1" t="s">
        <v>239</v>
      </c>
      <c r="F1" t="s">
        <v>240</v>
      </c>
      <c r="G1" t="s">
        <v>241</v>
      </c>
      <c r="H1" t="s">
        <v>337</v>
      </c>
      <c r="I1" t="s">
        <v>338</v>
      </c>
      <c r="J1" t="s">
        <v>356</v>
      </c>
    </row>
    <row r="2" spans="1:10" x14ac:dyDescent="0.25">
      <c r="A2" t="s">
        <v>344</v>
      </c>
      <c r="B2" t="s">
        <v>343</v>
      </c>
      <c r="C2" s="16" t="s">
        <v>346</v>
      </c>
      <c r="D2" s="3">
        <v>70</v>
      </c>
      <c r="E2" s="3">
        <v>8</v>
      </c>
      <c r="F2" s="3">
        <v>4</v>
      </c>
      <c r="G2" s="3">
        <v>10</v>
      </c>
      <c r="H2" s="3">
        <v>0</v>
      </c>
      <c r="I2" s="3">
        <v>24</v>
      </c>
      <c r="J2" s="3">
        <v>1</v>
      </c>
    </row>
    <row r="3" spans="1:10" x14ac:dyDescent="0.25">
      <c r="A3" t="s">
        <v>345</v>
      </c>
      <c r="B3" t="s">
        <v>343</v>
      </c>
      <c r="C3" s="4" t="s">
        <v>347</v>
      </c>
      <c r="D3" s="3">
        <v>70</v>
      </c>
      <c r="E3" s="3">
        <v>8</v>
      </c>
      <c r="F3" s="3">
        <v>4</v>
      </c>
      <c r="G3" s="3">
        <v>10</v>
      </c>
      <c r="H3" s="3">
        <v>0</v>
      </c>
      <c r="I3" s="3">
        <v>24</v>
      </c>
      <c r="J3" s="3" t="s">
        <v>357</v>
      </c>
    </row>
    <row r="4" spans="1:10" x14ac:dyDescent="0.25">
      <c r="A4" t="s">
        <v>43</v>
      </c>
      <c r="B4" t="s">
        <v>229</v>
      </c>
      <c r="C4" s="4" t="s">
        <v>44</v>
      </c>
      <c r="D4" s="3">
        <v>70</v>
      </c>
      <c r="E4" s="3">
        <v>8</v>
      </c>
      <c r="F4" s="3">
        <v>4</v>
      </c>
      <c r="G4" s="3">
        <v>10</v>
      </c>
      <c r="H4" s="15">
        <v>17</v>
      </c>
      <c r="I4" s="15">
        <v>12</v>
      </c>
      <c r="J4" s="3" t="s">
        <v>358</v>
      </c>
    </row>
    <row r="5" spans="1:10" x14ac:dyDescent="0.25">
      <c r="A5" t="s">
        <v>212</v>
      </c>
      <c r="B5" t="s">
        <v>229</v>
      </c>
      <c r="C5" s="5" t="s">
        <v>194</v>
      </c>
      <c r="D5" s="3">
        <v>70</v>
      </c>
      <c r="E5" s="3">
        <v>7</v>
      </c>
      <c r="F5" s="3">
        <v>3</v>
      </c>
      <c r="G5" s="3">
        <v>15</v>
      </c>
      <c r="H5" s="15">
        <v>4</v>
      </c>
      <c r="I5" s="15">
        <v>24</v>
      </c>
      <c r="J5" s="3" t="s">
        <v>199</v>
      </c>
    </row>
    <row r="6" spans="1:10" x14ac:dyDescent="0.25">
      <c r="A6" t="s">
        <v>51</v>
      </c>
      <c r="B6" t="s">
        <v>230</v>
      </c>
      <c r="C6" s="6" t="s">
        <v>52</v>
      </c>
      <c r="D6" s="3">
        <v>70</v>
      </c>
      <c r="E6" s="3">
        <v>7</v>
      </c>
      <c r="F6" s="3">
        <v>3</v>
      </c>
      <c r="G6" s="3">
        <v>15</v>
      </c>
      <c r="H6" s="15">
        <v>7</v>
      </c>
      <c r="I6" s="15">
        <v>18</v>
      </c>
      <c r="J6" s="3" t="s">
        <v>359</v>
      </c>
    </row>
    <row r="7" spans="1:10" x14ac:dyDescent="0.25">
      <c r="A7" t="s">
        <v>49</v>
      </c>
      <c r="B7" t="s">
        <v>230</v>
      </c>
      <c r="C7" s="5" t="s">
        <v>50</v>
      </c>
      <c r="D7" s="3">
        <v>70</v>
      </c>
      <c r="E7" s="3">
        <v>10</v>
      </c>
      <c r="F7" s="3">
        <v>4</v>
      </c>
      <c r="G7" s="3">
        <v>19</v>
      </c>
      <c r="H7" s="15">
        <v>7</v>
      </c>
      <c r="I7" s="15">
        <v>18</v>
      </c>
      <c r="J7" s="3" t="s">
        <v>360</v>
      </c>
    </row>
    <row r="8" spans="1:10" x14ac:dyDescent="0.25">
      <c r="A8" t="s">
        <v>213</v>
      </c>
      <c r="B8" t="s">
        <v>230</v>
      </c>
      <c r="C8" s="5" t="s">
        <v>195</v>
      </c>
      <c r="D8" s="3">
        <v>70</v>
      </c>
      <c r="E8" s="3">
        <v>2</v>
      </c>
      <c r="F8" s="3">
        <v>1</v>
      </c>
      <c r="G8" s="3">
        <v>3</v>
      </c>
      <c r="H8" s="15">
        <v>9</v>
      </c>
      <c r="I8" s="15">
        <v>17</v>
      </c>
      <c r="J8" s="3" t="s">
        <v>109</v>
      </c>
    </row>
    <row r="9" spans="1:10" x14ac:dyDescent="0.25">
      <c r="A9" t="s">
        <v>87</v>
      </c>
      <c r="B9" t="s">
        <v>230</v>
      </c>
      <c r="C9" s="5" t="s">
        <v>88</v>
      </c>
      <c r="D9" s="3">
        <v>70</v>
      </c>
      <c r="E9" s="3">
        <v>4</v>
      </c>
      <c r="F9" s="3" t="s">
        <v>20</v>
      </c>
      <c r="G9" s="3" t="s">
        <v>21</v>
      </c>
      <c r="H9" s="15">
        <v>7</v>
      </c>
      <c r="I9" s="15">
        <v>18</v>
      </c>
      <c r="J9" s="3" t="s">
        <v>361</v>
      </c>
    </row>
    <row r="10" spans="1:10" x14ac:dyDescent="0.25">
      <c r="A10" t="s">
        <v>53</v>
      </c>
      <c r="B10" t="s">
        <v>231</v>
      </c>
      <c r="C10" s="6" t="s">
        <v>32</v>
      </c>
      <c r="D10" s="3">
        <v>70</v>
      </c>
      <c r="E10" s="3">
        <v>4</v>
      </c>
      <c r="F10" s="3">
        <v>2</v>
      </c>
      <c r="G10" s="3">
        <v>6</v>
      </c>
      <c r="H10" s="15">
        <v>7</v>
      </c>
      <c r="I10" s="15">
        <v>18</v>
      </c>
      <c r="J10" s="3" t="s">
        <v>70</v>
      </c>
    </row>
    <row r="11" spans="1:10" x14ac:dyDescent="0.25">
      <c r="A11" t="s">
        <v>214</v>
      </c>
      <c r="B11" t="s">
        <v>231</v>
      </c>
      <c r="C11" s="5" t="s">
        <v>30</v>
      </c>
      <c r="D11" s="3">
        <v>70</v>
      </c>
      <c r="E11" s="3">
        <v>4</v>
      </c>
      <c r="F11" s="3">
        <v>2</v>
      </c>
      <c r="G11" s="3">
        <v>6</v>
      </c>
      <c r="H11" s="15">
        <v>7</v>
      </c>
      <c r="I11" s="15">
        <v>18</v>
      </c>
      <c r="J11" s="3" t="s">
        <v>109</v>
      </c>
    </row>
    <row r="12" spans="1:10" x14ac:dyDescent="0.25">
      <c r="A12" t="s">
        <v>56</v>
      </c>
      <c r="B12" t="s">
        <v>231</v>
      </c>
      <c r="C12" s="6" t="s">
        <v>57</v>
      </c>
      <c r="D12" s="3">
        <v>70</v>
      </c>
      <c r="E12" s="3">
        <v>2</v>
      </c>
      <c r="F12" s="3">
        <v>1</v>
      </c>
      <c r="G12" s="3">
        <v>3</v>
      </c>
      <c r="H12" s="15">
        <v>7</v>
      </c>
      <c r="I12" s="15">
        <v>18</v>
      </c>
      <c r="J12" s="3" t="s">
        <v>199</v>
      </c>
    </row>
    <row r="13" spans="1:10" x14ac:dyDescent="0.25">
      <c r="A13" t="s">
        <v>54</v>
      </c>
      <c r="B13" t="s">
        <v>231</v>
      </c>
      <c r="C13" s="6" t="s">
        <v>55</v>
      </c>
      <c r="D13" s="3">
        <v>70</v>
      </c>
      <c r="E13" s="3">
        <v>4</v>
      </c>
      <c r="F13" s="3">
        <v>2</v>
      </c>
      <c r="G13" s="3">
        <v>6</v>
      </c>
      <c r="H13" s="15">
        <v>7</v>
      </c>
      <c r="I13" s="15">
        <v>18</v>
      </c>
      <c r="J13" s="3" t="s">
        <v>116</v>
      </c>
    </row>
    <row r="14" spans="1:10" x14ac:dyDescent="0.25">
      <c r="A14" t="s">
        <v>215</v>
      </c>
      <c r="B14" t="s">
        <v>231</v>
      </c>
      <c r="C14" s="5" t="s">
        <v>196</v>
      </c>
      <c r="D14" s="3">
        <v>70</v>
      </c>
      <c r="E14" s="3">
        <v>4</v>
      </c>
      <c r="F14" s="3" t="s">
        <v>20</v>
      </c>
      <c r="G14" s="3" t="s">
        <v>21</v>
      </c>
      <c r="H14" s="15">
        <v>7</v>
      </c>
      <c r="I14" s="15">
        <v>18</v>
      </c>
      <c r="J14" s="3" t="s">
        <v>98</v>
      </c>
    </row>
    <row r="15" spans="1:10" x14ac:dyDescent="0.25">
      <c r="A15" t="s">
        <v>79</v>
      </c>
      <c r="B15" t="s">
        <v>232</v>
      </c>
      <c r="C15" s="6" t="s">
        <v>80</v>
      </c>
      <c r="D15" s="3">
        <v>70</v>
      </c>
      <c r="E15" s="3">
        <v>-10</v>
      </c>
      <c r="F15" s="3">
        <v>-8</v>
      </c>
      <c r="G15" s="3">
        <v>-12</v>
      </c>
      <c r="H15" s="15">
        <v>7</v>
      </c>
      <c r="I15" s="15">
        <v>20</v>
      </c>
      <c r="J15" s="3" t="s">
        <v>362</v>
      </c>
    </row>
    <row r="16" spans="1:10" x14ac:dyDescent="0.25">
      <c r="A16" t="s">
        <v>83</v>
      </c>
      <c r="B16" t="s">
        <v>232</v>
      </c>
      <c r="C16" s="6" t="s">
        <v>84</v>
      </c>
      <c r="D16" s="3">
        <v>70</v>
      </c>
      <c r="E16" s="3">
        <v>2</v>
      </c>
      <c r="F16" s="3">
        <v>1</v>
      </c>
      <c r="G16" s="3">
        <v>3</v>
      </c>
      <c r="H16" s="15">
        <v>7</v>
      </c>
      <c r="I16" s="15">
        <v>20</v>
      </c>
      <c r="J16" s="3" t="s">
        <v>362</v>
      </c>
    </row>
    <row r="17" spans="1:10" x14ac:dyDescent="0.25">
      <c r="A17" t="s">
        <v>81</v>
      </c>
      <c r="B17" t="s">
        <v>232</v>
      </c>
      <c r="C17" s="5" t="s">
        <v>82</v>
      </c>
      <c r="D17" s="3">
        <v>70</v>
      </c>
      <c r="E17" s="3">
        <v>2</v>
      </c>
      <c r="F17" s="3">
        <v>1</v>
      </c>
      <c r="G17" s="3">
        <v>3</v>
      </c>
      <c r="H17" s="15">
        <v>7</v>
      </c>
      <c r="I17" s="15">
        <v>19</v>
      </c>
      <c r="J17" s="3" t="s">
        <v>91</v>
      </c>
    </row>
    <row r="18" spans="1:10" x14ac:dyDescent="0.25">
      <c r="A18" t="s">
        <v>45</v>
      </c>
      <c r="B18" t="s">
        <v>45</v>
      </c>
      <c r="C18" s="6" t="s">
        <v>46</v>
      </c>
      <c r="D18" s="3">
        <v>70</v>
      </c>
      <c r="E18" s="3">
        <v>2</v>
      </c>
      <c r="F18" s="3">
        <v>1</v>
      </c>
      <c r="G18" s="3">
        <v>3</v>
      </c>
      <c r="H18" s="15">
        <v>8</v>
      </c>
      <c r="I18" s="15">
        <v>24</v>
      </c>
      <c r="J18" s="3" t="s">
        <v>122</v>
      </c>
    </row>
    <row r="19" spans="1:10" x14ac:dyDescent="0.25">
      <c r="A19" t="s">
        <v>47</v>
      </c>
      <c r="B19" t="s">
        <v>45</v>
      </c>
      <c r="C19" s="5" t="s">
        <v>48</v>
      </c>
      <c r="D19" s="3">
        <v>70</v>
      </c>
      <c r="E19" s="3">
        <v>2</v>
      </c>
      <c r="F19" s="3">
        <v>1</v>
      </c>
      <c r="G19" s="3">
        <v>3</v>
      </c>
      <c r="H19" s="15">
        <v>8</v>
      </c>
      <c r="I19" s="15">
        <v>15</v>
      </c>
      <c r="J19" s="3" t="s">
        <v>122</v>
      </c>
    </row>
    <row r="20" spans="1:10" x14ac:dyDescent="0.25">
      <c r="A20" t="s">
        <v>216</v>
      </c>
      <c r="B20" t="s">
        <v>45</v>
      </c>
      <c r="C20" s="5" t="s">
        <v>197</v>
      </c>
      <c r="D20" s="3">
        <v>90</v>
      </c>
      <c r="E20" s="3">
        <v>200</v>
      </c>
      <c r="F20" s="3">
        <v>150</v>
      </c>
      <c r="G20" s="3">
        <v>250</v>
      </c>
      <c r="H20" s="15">
        <v>8</v>
      </c>
      <c r="I20" s="15">
        <v>23</v>
      </c>
      <c r="J20" s="3" t="s">
        <v>126</v>
      </c>
    </row>
    <row r="21" spans="1:10" x14ac:dyDescent="0.25">
      <c r="A21" t="s">
        <v>217</v>
      </c>
      <c r="B21" t="s">
        <v>45</v>
      </c>
      <c r="C21" s="5" t="s">
        <v>198</v>
      </c>
      <c r="D21" s="3">
        <v>90</v>
      </c>
      <c r="E21" s="3">
        <v>200</v>
      </c>
      <c r="F21" s="3">
        <v>150</v>
      </c>
      <c r="G21" s="3">
        <v>250</v>
      </c>
      <c r="H21" s="15">
        <v>7</v>
      </c>
      <c r="I21" s="15">
        <v>16</v>
      </c>
      <c r="J21" s="3" t="s">
        <v>126</v>
      </c>
    </row>
    <row r="22" spans="1:10" x14ac:dyDescent="0.25">
      <c r="A22" t="s">
        <v>60</v>
      </c>
      <c r="B22" t="s">
        <v>233</v>
      </c>
      <c r="C22" s="5" t="s">
        <v>6</v>
      </c>
      <c r="D22" s="3">
        <v>70</v>
      </c>
      <c r="E22" s="3">
        <v>2</v>
      </c>
      <c r="F22" s="3">
        <v>1</v>
      </c>
      <c r="G22" s="3">
        <v>3</v>
      </c>
      <c r="H22" s="15">
        <v>12</v>
      </c>
      <c r="I22" s="15">
        <v>24</v>
      </c>
      <c r="J22" s="3" t="s">
        <v>109</v>
      </c>
    </row>
    <row r="23" spans="1:10" x14ac:dyDescent="0.25">
      <c r="A23" t="s">
        <v>218</v>
      </c>
      <c r="B23" t="s">
        <v>233</v>
      </c>
      <c r="C23" s="5" t="s">
        <v>199</v>
      </c>
      <c r="D23" s="3">
        <v>70</v>
      </c>
      <c r="E23" s="3">
        <v>4</v>
      </c>
      <c r="F23" s="3">
        <v>2</v>
      </c>
      <c r="G23" s="3">
        <v>6</v>
      </c>
      <c r="H23" s="15">
        <v>7</v>
      </c>
      <c r="I23" s="15">
        <v>23</v>
      </c>
      <c r="J23" s="3" t="s">
        <v>109</v>
      </c>
    </row>
    <row r="24" spans="1:10" x14ac:dyDescent="0.25">
      <c r="A24" t="s">
        <v>58</v>
      </c>
      <c r="B24" t="s">
        <v>233</v>
      </c>
      <c r="C24" s="6" t="s">
        <v>59</v>
      </c>
      <c r="D24" s="3">
        <v>70</v>
      </c>
      <c r="E24" s="3">
        <v>7</v>
      </c>
      <c r="F24" s="3">
        <v>3</v>
      </c>
      <c r="G24" s="3">
        <v>15</v>
      </c>
      <c r="H24" s="15">
        <v>7</v>
      </c>
      <c r="I24" s="15">
        <v>23</v>
      </c>
      <c r="J24" s="3" t="s">
        <v>109</v>
      </c>
    </row>
    <row r="25" spans="1:10" x14ac:dyDescent="0.25">
      <c r="A25" t="s">
        <v>2</v>
      </c>
      <c r="B25" t="s">
        <v>234</v>
      </c>
      <c r="C25" s="5" t="s">
        <v>200</v>
      </c>
      <c r="D25" s="3">
        <v>70</v>
      </c>
      <c r="E25" s="3">
        <v>4</v>
      </c>
      <c r="F25" s="3">
        <v>2</v>
      </c>
      <c r="G25" s="3">
        <v>6</v>
      </c>
      <c r="H25" s="15">
        <v>0</v>
      </c>
      <c r="I25" s="15">
        <v>24</v>
      </c>
      <c r="J25" s="3" t="s">
        <v>358</v>
      </c>
    </row>
    <row r="26" spans="1:10" x14ac:dyDescent="0.25">
      <c r="A26" t="s">
        <v>219</v>
      </c>
      <c r="B26" t="s">
        <v>234</v>
      </c>
      <c r="C26" s="5" t="s">
        <v>201</v>
      </c>
      <c r="D26" s="3">
        <v>70</v>
      </c>
      <c r="E26" s="3">
        <v>7</v>
      </c>
      <c r="F26" s="3">
        <v>3</v>
      </c>
      <c r="G26" s="3">
        <v>15</v>
      </c>
      <c r="H26" s="15">
        <v>0</v>
      </c>
      <c r="I26" s="15">
        <v>24</v>
      </c>
      <c r="J26" s="3" t="s">
        <v>109</v>
      </c>
    </row>
    <row r="27" spans="1:10" x14ac:dyDescent="0.25">
      <c r="A27" t="s">
        <v>69</v>
      </c>
      <c r="B27" t="s">
        <v>234</v>
      </c>
      <c r="C27" s="5" t="s">
        <v>70</v>
      </c>
      <c r="D27" s="3">
        <v>70</v>
      </c>
      <c r="E27" s="3">
        <v>20</v>
      </c>
      <c r="F27" s="3">
        <v>10</v>
      </c>
      <c r="G27" s="3">
        <v>30</v>
      </c>
      <c r="H27" s="15">
        <v>7</v>
      </c>
      <c r="I27" s="15">
        <v>18</v>
      </c>
      <c r="J27" s="3" t="s">
        <v>199</v>
      </c>
    </row>
    <row r="28" spans="1:10" x14ac:dyDescent="0.25">
      <c r="A28" t="s">
        <v>71</v>
      </c>
      <c r="B28" t="s">
        <v>235</v>
      </c>
      <c r="C28" s="6" t="s">
        <v>72</v>
      </c>
      <c r="D28" s="3">
        <v>90</v>
      </c>
      <c r="E28" s="3">
        <v>10</v>
      </c>
      <c r="F28" s="3">
        <v>5</v>
      </c>
      <c r="G28" s="3">
        <v>15</v>
      </c>
      <c r="H28" s="15">
        <v>0</v>
      </c>
      <c r="I28" s="15">
        <v>24</v>
      </c>
      <c r="J28" s="3" t="s">
        <v>105</v>
      </c>
    </row>
    <row r="29" spans="1:10" x14ac:dyDescent="0.25">
      <c r="A29" t="s">
        <v>77</v>
      </c>
      <c r="B29" t="s">
        <v>235</v>
      </c>
      <c r="C29" s="5" t="s">
        <v>78</v>
      </c>
      <c r="D29" s="3">
        <v>70</v>
      </c>
      <c r="E29" s="3">
        <v>10</v>
      </c>
      <c r="F29" s="3">
        <v>5</v>
      </c>
      <c r="G29" s="3">
        <v>15</v>
      </c>
      <c r="H29" s="15">
        <v>7</v>
      </c>
      <c r="I29" s="15">
        <v>18</v>
      </c>
      <c r="J29" s="3" t="s">
        <v>105</v>
      </c>
    </row>
    <row r="30" spans="1:10" x14ac:dyDescent="0.25">
      <c r="A30" t="s">
        <v>220</v>
      </c>
      <c r="B30" t="s">
        <v>235</v>
      </c>
      <c r="C30" s="6" t="s">
        <v>202</v>
      </c>
      <c r="D30" s="3">
        <v>70</v>
      </c>
      <c r="E30" s="3">
        <v>20</v>
      </c>
      <c r="F30" s="3">
        <v>15</v>
      </c>
      <c r="G30" s="3">
        <v>25</v>
      </c>
      <c r="H30" s="15">
        <v>7</v>
      </c>
      <c r="I30" s="15">
        <v>18</v>
      </c>
      <c r="J30" s="3" t="s">
        <v>126</v>
      </c>
    </row>
    <row r="31" spans="1:10" x14ac:dyDescent="0.25">
      <c r="A31" t="s">
        <v>73</v>
      </c>
      <c r="B31" t="s">
        <v>236</v>
      </c>
      <c r="C31" s="5" t="s">
        <v>74</v>
      </c>
      <c r="D31" s="3">
        <v>90</v>
      </c>
      <c r="E31" s="3">
        <v>0</v>
      </c>
      <c r="F31" s="3">
        <v>0</v>
      </c>
      <c r="G31" s="3">
        <v>0</v>
      </c>
      <c r="H31" s="15">
        <v>0</v>
      </c>
      <c r="I31" s="15">
        <v>24</v>
      </c>
      <c r="J31" s="3" t="s">
        <v>20</v>
      </c>
    </row>
    <row r="32" spans="1:10" x14ac:dyDescent="0.25">
      <c r="A32" t="s">
        <v>63</v>
      </c>
      <c r="B32" t="s">
        <v>237</v>
      </c>
      <c r="C32" s="5" t="s">
        <v>64</v>
      </c>
      <c r="D32" s="3">
        <v>120</v>
      </c>
      <c r="E32" s="3">
        <v>0</v>
      </c>
      <c r="F32" s="3">
        <v>0</v>
      </c>
      <c r="G32" s="3">
        <v>0</v>
      </c>
      <c r="H32" s="15">
        <v>7</v>
      </c>
      <c r="I32" s="15">
        <v>23</v>
      </c>
      <c r="J32" s="3" t="s">
        <v>196</v>
      </c>
    </row>
    <row r="33" spans="1:10" x14ac:dyDescent="0.25">
      <c r="A33" t="s">
        <v>14</v>
      </c>
      <c r="B33" t="s">
        <v>237</v>
      </c>
      <c r="C33" s="6" t="s">
        <v>66</v>
      </c>
      <c r="D33" s="3">
        <v>120</v>
      </c>
      <c r="E33" s="3">
        <v>2</v>
      </c>
      <c r="F33" s="3">
        <v>1</v>
      </c>
      <c r="G33" s="3">
        <v>3</v>
      </c>
      <c r="H33" s="15">
        <v>7</v>
      </c>
      <c r="I33" s="15">
        <v>23</v>
      </c>
      <c r="J33" s="3" t="s">
        <v>103</v>
      </c>
    </row>
    <row r="34" spans="1:10" x14ac:dyDescent="0.25">
      <c r="A34" t="s">
        <v>12</v>
      </c>
      <c r="B34" t="s">
        <v>237</v>
      </c>
      <c r="C34" s="6" t="s">
        <v>65</v>
      </c>
      <c r="D34" s="3">
        <v>70</v>
      </c>
      <c r="E34" s="3">
        <v>2</v>
      </c>
      <c r="F34" s="3">
        <v>1</v>
      </c>
      <c r="G34" s="3">
        <v>3</v>
      </c>
      <c r="H34" s="15">
        <v>7</v>
      </c>
      <c r="I34" s="15">
        <v>23</v>
      </c>
      <c r="J34" s="3" t="s">
        <v>360</v>
      </c>
    </row>
    <row r="35" spans="1:10" x14ac:dyDescent="0.25">
      <c r="A35" t="s">
        <v>221</v>
      </c>
      <c r="B35" t="s">
        <v>238</v>
      </c>
      <c r="C35" s="5" t="s">
        <v>203</v>
      </c>
      <c r="D35" s="3">
        <v>70</v>
      </c>
      <c r="E35" s="3">
        <v>0</v>
      </c>
      <c r="F35" s="3">
        <v>0</v>
      </c>
      <c r="G35" s="3">
        <v>0</v>
      </c>
      <c r="H35" s="15">
        <v>6</v>
      </c>
      <c r="I35" s="15">
        <v>19</v>
      </c>
      <c r="J35" s="3" t="s">
        <v>91</v>
      </c>
    </row>
    <row r="36" spans="1:10" x14ac:dyDescent="0.25">
      <c r="A36" t="s">
        <v>222</v>
      </c>
      <c r="B36" t="s">
        <v>238</v>
      </c>
      <c r="C36" s="6" t="s">
        <v>204</v>
      </c>
      <c r="D36" s="3">
        <v>70</v>
      </c>
      <c r="E36" s="3">
        <v>0</v>
      </c>
      <c r="F36" s="3">
        <v>0</v>
      </c>
      <c r="G36" s="3">
        <v>0</v>
      </c>
      <c r="H36" s="15">
        <v>0</v>
      </c>
      <c r="I36" s="15">
        <v>24</v>
      </c>
      <c r="J36" s="3" t="s">
        <v>91</v>
      </c>
    </row>
    <row r="37" spans="1:10" x14ac:dyDescent="0.25">
      <c r="A37" t="s">
        <v>223</v>
      </c>
      <c r="B37" t="s">
        <v>238</v>
      </c>
      <c r="C37" s="6" t="s">
        <v>205</v>
      </c>
      <c r="D37" s="3">
        <v>70</v>
      </c>
      <c r="E37" s="3">
        <v>0</v>
      </c>
      <c r="F37" s="3">
        <v>0</v>
      </c>
      <c r="G37" s="3">
        <v>0</v>
      </c>
      <c r="H37" s="15">
        <v>6</v>
      </c>
      <c r="I37" s="15">
        <v>19</v>
      </c>
      <c r="J37" s="3" t="s">
        <v>91</v>
      </c>
    </row>
    <row r="38" spans="1:10" x14ac:dyDescent="0.25">
      <c r="A38" t="s">
        <v>61</v>
      </c>
      <c r="B38" t="s">
        <v>238</v>
      </c>
      <c r="C38" s="6" t="s">
        <v>62</v>
      </c>
      <c r="D38" s="3">
        <v>70</v>
      </c>
      <c r="E38" s="3">
        <v>0</v>
      </c>
      <c r="F38" s="3">
        <v>0</v>
      </c>
      <c r="G38" s="3">
        <v>0</v>
      </c>
      <c r="H38" s="15">
        <v>6</v>
      </c>
      <c r="I38" s="15">
        <v>19</v>
      </c>
      <c r="J38" s="3" t="s">
        <v>25</v>
      </c>
    </row>
    <row r="39" spans="1:10" x14ac:dyDescent="0.25">
      <c r="A39" t="s">
        <v>224</v>
      </c>
      <c r="B39" t="s">
        <v>238</v>
      </c>
      <c r="C39" s="6" t="s">
        <v>206</v>
      </c>
      <c r="D39" s="3">
        <v>70</v>
      </c>
      <c r="E39" s="3">
        <v>40</v>
      </c>
      <c r="F39" s="3">
        <v>30</v>
      </c>
      <c r="G39" s="3">
        <v>50</v>
      </c>
      <c r="H39" s="15">
        <v>7</v>
      </c>
      <c r="I39" s="15">
        <v>18</v>
      </c>
      <c r="J39" s="3" t="s">
        <v>126</v>
      </c>
    </row>
    <row r="40" spans="1:10" x14ac:dyDescent="0.25">
      <c r="A40" t="s">
        <v>225</v>
      </c>
      <c r="B40" t="s">
        <v>238</v>
      </c>
      <c r="C40" s="6" t="s">
        <v>207</v>
      </c>
      <c r="D40" s="3">
        <v>70</v>
      </c>
      <c r="E40" s="3">
        <v>0</v>
      </c>
      <c r="F40" s="3">
        <v>0</v>
      </c>
      <c r="G40" s="3">
        <v>0</v>
      </c>
      <c r="H40" s="15">
        <v>7</v>
      </c>
      <c r="I40" s="15">
        <v>18</v>
      </c>
      <c r="J40" s="3" t="s">
        <v>118</v>
      </c>
    </row>
    <row r="41" spans="1:10" x14ac:dyDescent="0.25">
      <c r="A41" t="s">
        <v>226</v>
      </c>
      <c r="B41" t="s">
        <v>238</v>
      </c>
      <c r="C41" s="6" t="s">
        <v>208</v>
      </c>
      <c r="D41" s="3">
        <v>70</v>
      </c>
      <c r="E41" s="3">
        <v>0</v>
      </c>
      <c r="F41" s="3">
        <v>0</v>
      </c>
      <c r="G41" s="3">
        <v>0</v>
      </c>
      <c r="H41" s="15">
        <v>7</v>
      </c>
      <c r="I41" s="15">
        <v>18</v>
      </c>
      <c r="J41" s="3" t="s">
        <v>102</v>
      </c>
    </row>
    <row r="42" spans="1:10" x14ac:dyDescent="0.25">
      <c r="A42" t="s">
        <v>67</v>
      </c>
      <c r="B42" t="s">
        <v>238</v>
      </c>
      <c r="C42" s="6" t="s">
        <v>68</v>
      </c>
      <c r="D42" s="3">
        <v>70</v>
      </c>
      <c r="E42" s="3">
        <v>0</v>
      </c>
      <c r="F42" s="3">
        <v>0</v>
      </c>
      <c r="G42" s="3">
        <v>0</v>
      </c>
      <c r="H42" s="15">
        <v>7</v>
      </c>
      <c r="I42" s="15">
        <v>18</v>
      </c>
      <c r="J42" s="3" t="s">
        <v>126</v>
      </c>
    </row>
    <row r="43" spans="1:10" x14ac:dyDescent="0.25">
      <c r="A43" t="s">
        <v>85</v>
      </c>
      <c r="B43" t="s">
        <v>238</v>
      </c>
      <c r="C43" s="6" t="s">
        <v>86</v>
      </c>
      <c r="D43" s="3">
        <v>70</v>
      </c>
      <c r="E43" s="3">
        <v>1</v>
      </c>
      <c r="F43" s="3" t="s">
        <v>25</v>
      </c>
      <c r="G43" s="3">
        <v>2</v>
      </c>
      <c r="H43" s="15">
        <v>7</v>
      </c>
      <c r="I43" s="15">
        <v>18</v>
      </c>
      <c r="J43" s="3" t="s">
        <v>91</v>
      </c>
    </row>
    <row r="44" spans="1:10" x14ac:dyDescent="0.25">
      <c r="A44" t="s">
        <v>227</v>
      </c>
      <c r="B44" t="s">
        <v>238</v>
      </c>
      <c r="C44" s="6" t="s">
        <v>209</v>
      </c>
      <c r="D44" s="3">
        <v>70</v>
      </c>
      <c r="E44" s="3" t="s">
        <v>126</v>
      </c>
      <c r="F44" s="3" t="s">
        <v>116</v>
      </c>
      <c r="G44" s="3" t="s">
        <v>137</v>
      </c>
      <c r="H44" s="15">
        <v>7</v>
      </c>
      <c r="I44" s="15">
        <v>18</v>
      </c>
      <c r="J44" s="3" t="s">
        <v>95</v>
      </c>
    </row>
    <row r="45" spans="1:10" x14ac:dyDescent="0.25">
      <c r="A45" t="s">
        <v>228</v>
      </c>
      <c r="B45" t="s">
        <v>238</v>
      </c>
      <c r="C45" s="6" t="s">
        <v>210</v>
      </c>
      <c r="D45" s="3">
        <v>70</v>
      </c>
      <c r="E45" s="3" t="s">
        <v>182</v>
      </c>
      <c r="F45" s="3" t="s">
        <v>182</v>
      </c>
      <c r="G45" s="3" t="s">
        <v>182</v>
      </c>
      <c r="H45" s="15"/>
      <c r="I45" s="15"/>
      <c r="J45" s="3"/>
    </row>
    <row r="46" spans="1:10" x14ac:dyDescent="0.25">
      <c r="A46" t="s">
        <v>75</v>
      </c>
      <c r="B46" t="s">
        <v>238</v>
      </c>
      <c r="C46" s="6" t="s">
        <v>76</v>
      </c>
      <c r="D46" s="3">
        <v>70</v>
      </c>
      <c r="E46" s="3" t="s">
        <v>188</v>
      </c>
      <c r="F46" s="3" t="s">
        <v>183</v>
      </c>
      <c r="G46" s="3" t="s">
        <v>184</v>
      </c>
      <c r="H46" s="15">
        <v>7</v>
      </c>
      <c r="I46" s="15">
        <v>18</v>
      </c>
      <c r="J46" s="3" t="s">
        <v>91</v>
      </c>
    </row>
  </sheetData>
  <pageMargins left="0.7" right="0.7" top="0.78740157499999996" bottom="0.78740157499999996" header="0.3" footer="0.3"/>
  <ignoredErrors>
    <ignoredError sqref="E44:G44 E45:E46 F45:F46 G45:G4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8"/>
  <sheetViews>
    <sheetView tabSelected="1" zoomScale="85" zoomScaleNormal="85" workbookViewId="0">
      <selection activeCell="K72" sqref="K72"/>
    </sheetView>
  </sheetViews>
  <sheetFormatPr baseColWidth="10" defaultRowHeight="15" x14ac:dyDescent="0.25"/>
  <cols>
    <col min="1" max="1" width="60.85546875" customWidth="1"/>
    <col min="2" max="2" width="72.7109375" customWidth="1"/>
    <col min="3" max="3" width="39.140625" customWidth="1"/>
    <col min="4" max="4" width="9.5703125" bestFit="1" customWidth="1"/>
    <col min="5" max="5" width="18.140625" customWidth="1"/>
    <col min="6" max="6" width="10.85546875" bestFit="1" customWidth="1"/>
    <col min="7" max="7" width="120.7109375" bestFit="1" customWidth="1"/>
    <col min="8" max="8" width="10.85546875" customWidth="1"/>
    <col min="9" max="10" width="13.7109375" customWidth="1"/>
    <col min="11" max="11" width="27.5703125" bestFit="1" customWidth="1"/>
    <col min="12" max="14" width="13.7109375" style="20" customWidth="1"/>
    <col min="15" max="16" width="13.7109375" customWidth="1"/>
    <col min="17" max="17" width="13" customWidth="1"/>
    <col min="18" max="18" width="27.42578125" bestFit="1" customWidth="1"/>
    <col min="19" max="19" width="29.85546875" bestFit="1" customWidth="1"/>
    <col min="20" max="20" width="28.5703125" bestFit="1" customWidth="1"/>
    <col min="25" max="25" width="18.140625" bestFit="1" customWidth="1"/>
  </cols>
  <sheetData>
    <row r="1" spans="1:26" x14ac:dyDescent="0.25">
      <c r="A1" s="7" t="s">
        <v>331</v>
      </c>
      <c r="B1" s="7" t="s">
        <v>332</v>
      </c>
      <c r="C1" s="8" t="s">
        <v>0</v>
      </c>
      <c r="D1" s="8" t="s">
        <v>1</v>
      </c>
      <c r="E1" s="8" t="s">
        <v>38</v>
      </c>
      <c r="F1" s="8" t="s">
        <v>39</v>
      </c>
      <c r="G1" s="17" t="s">
        <v>363</v>
      </c>
      <c r="H1" s="17" t="s">
        <v>364</v>
      </c>
      <c r="I1" s="18" t="s">
        <v>34</v>
      </c>
      <c r="J1" s="8" t="s">
        <v>40</v>
      </c>
      <c r="K1" s="17" t="s">
        <v>365</v>
      </c>
      <c r="L1" s="18" t="s">
        <v>35</v>
      </c>
      <c r="M1" s="18" t="s">
        <v>36</v>
      </c>
      <c r="N1" s="18" t="s">
        <v>37</v>
      </c>
      <c r="O1" s="8" t="s">
        <v>243</v>
      </c>
      <c r="P1" s="8" t="s">
        <v>41</v>
      </c>
      <c r="Q1" s="23" t="s">
        <v>42</v>
      </c>
      <c r="R1" s="17" t="s">
        <v>366</v>
      </c>
      <c r="S1" s="17" t="s">
        <v>367</v>
      </c>
      <c r="T1" s="17" t="s">
        <v>368</v>
      </c>
      <c r="U1" s="18" t="s">
        <v>339</v>
      </c>
      <c r="V1" s="18" t="s">
        <v>340</v>
      </c>
      <c r="W1" s="8" t="s">
        <v>341</v>
      </c>
      <c r="X1" s="8" t="s">
        <v>342</v>
      </c>
      <c r="Y1" s="17" t="s">
        <v>369</v>
      </c>
      <c r="Z1" s="17" t="s">
        <v>370</v>
      </c>
    </row>
    <row r="2" spans="1:26" x14ac:dyDescent="0.25">
      <c r="A2" t="s">
        <v>244</v>
      </c>
      <c r="B2" t="s">
        <v>248</v>
      </c>
      <c r="C2" t="s">
        <v>92</v>
      </c>
      <c r="D2" s="1" t="str">
        <f>VLOOKUP(Zuweisungen!C2,'DIN V 18599-10'!$A$2:$B$47,2,FALSE)</f>
        <v>2</v>
      </c>
      <c r="E2" t="s">
        <v>51</v>
      </c>
      <c r="F2" t="str">
        <f>VLOOKUP(Zuweisungen!E2,'SIA 2024'!$A$2:$C$46,3,FALSE)</f>
        <v>3.1</v>
      </c>
      <c r="G2" t="str">
        <f>VLOOKUP(B2,[1]data_18599_10_default_avarge!$A$2:$M$112,1,FALSE)</f>
        <v>Parlaments- oder Gerichtsgebäude</v>
      </c>
      <c r="H2">
        <f>VLOOKUP(B2,[1]data_18599_10_default_avarge!$A$2:$M$112,2,FALSE)</f>
        <v>2</v>
      </c>
      <c r="I2" s="9">
        <f>VLOOKUP(Zuweisungen!D2,'DIN V 18599-10'!$B$2:$F$47,2,FALSE)</f>
        <v>70</v>
      </c>
      <c r="J2" s="9">
        <f>VLOOKUP(Zuweisungen!F2,'SIA 2024'!$C$2:$G$46,2,FALSE)</f>
        <v>70</v>
      </c>
      <c r="K2" s="9">
        <f>VLOOKUP(B2,[2]usage_profiles!$E$2:$AH$109,29,FALSE)</f>
        <v>22.222647909807439</v>
      </c>
      <c r="L2" s="19" t="str">
        <f>VLOOKUP(Zuweisungen!D2,'DIN V 18599-10'!$B$2:$F$47,3,FALSE)</f>
        <v>2.8</v>
      </c>
      <c r="M2" s="19" t="str">
        <f>VLOOKUP(Zuweisungen!D2,'DIN V 18599-10'!$B$2:$F$47,4,FALSE)</f>
        <v>7.1</v>
      </c>
      <c r="N2" s="19" t="str">
        <f>VLOOKUP(Zuweisungen!D2,'DIN V 18599-10'!$B$2:$F$47,5,FALSE)</f>
        <v>15</v>
      </c>
      <c r="O2" s="10">
        <f>VLOOKUP(Zuweisungen!F2,'SIA 2024'!$C$2:$G$46,4,FALSE)</f>
        <v>3</v>
      </c>
      <c r="P2" s="11">
        <f>VLOOKUP(Zuweisungen!F2,'SIA 2024'!$C$2:$G$46,3,FALSE)</f>
        <v>7</v>
      </c>
      <c r="Q2" s="12">
        <f>VLOOKUP(Zuweisungen!F2,'SIA 2024'!$C$2:$G$46,5,FALSE)</f>
        <v>15</v>
      </c>
      <c r="R2" s="22">
        <f>VLOOKUP(B2,[2]usage_profiles!$E$2:$AH$109,30,FALSE)</f>
        <v>32.672892347600509</v>
      </c>
      <c r="S2" s="12">
        <f>VLOOKUP(B2,[2]usage_profiles!$E$2:$AH$109,30,FALSE)</f>
        <v>32.672892347600509</v>
      </c>
      <c r="T2" s="22">
        <f>VLOOKUP(B2,[2]usage_profiles!$E$2:$AH$109,30,FALSE)</f>
        <v>32.672892347600509</v>
      </c>
      <c r="U2" s="20">
        <f>VLOOKUP(Zuweisungen!D2,'DIN V 18599-10'!$B$2:$H$47,6,FALSE)</f>
        <v>7</v>
      </c>
      <c r="V2" s="20">
        <f>VLOOKUP(Zuweisungen!D2,'DIN V 18599-10'!$B$2:$H$47,7,FALSE)</f>
        <v>18</v>
      </c>
      <c r="W2">
        <f>VLOOKUP(Zuweisungen!F2,'SIA 2024'!$C$2:$I$46,6,FALSE)</f>
        <v>7</v>
      </c>
      <c r="X2">
        <f>VLOOKUP(Zuweisungen!F2,'SIA 2024'!$C$2:$I$46,7,FALSE)</f>
        <v>18</v>
      </c>
      <c r="Y2">
        <f>VLOOKUP(B2,[2]usage_profiles!$E$2:$AH$109,3,FALSE)</f>
        <v>6.9871495560211505</v>
      </c>
      <c r="Z2">
        <f>VLOOKUP(B2,[2]usage_profiles!$E$2:$AH$109,4,FALSE)</f>
        <v>18.048927466826296</v>
      </c>
    </row>
    <row r="3" spans="1:26" x14ac:dyDescent="0.25">
      <c r="A3" t="s">
        <v>244</v>
      </c>
      <c r="B3" t="s">
        <v>251</v>
      </c>
      <c r="C3" t="s">
        <v>92</v>
      </c>
      <c r="D3" s="1" t="str">
        <f>VLOOKUP(Zuweisungen!C3,'DIN V 18599-10'!$A$2:$B$47,2,FALSE)</f>
        <v>2</v>
      </c>
      <c r="E3" t="s">
        <v>51</v>
      </c>
      <c r="F3" t="str">
        <f>VLOOKUP(Zuweisungen!E3,'SIA 2024'!$A$2:$C$46,3,FALSE)</f>
        <v>3.1</v>
      </c>
      <c r="G3" t="str">
        <f>VLOOKUP(B3,[1]data_18599_10_default_avarge!$A$2:$M$112,1,FALSE)</f>
        <v>Öffentliches Verwaltungs- oder Ämtergebäude, Rathaus</v>
      </c>
      <c r="H3">
        <f>VLOOKUP(B3,[1]data_18599_10_default_avarge!$A$2:$M$112,2,FALSE)</f>
        <v>3</v>
      </c>
      <c r="I3" s="9">
        <f>VLOOKUP(Zuweisungen!D3,'DIN V 18599-10'!$B$2:$F$47,2,FALSE)</f>
        <v>70</v>
      </c>
      <c r="J3" s="9">
        <f>VLOOKUP(Zuweisungen!F3,'SIA 2024'!$C$2:$G$46,2,FALSE)</f>
        <v>70</v>
      </c>
      <c r="K3" s="9">
        <f>VLOOKUP(B3,[2]usage_profiles!$E$2:$AH$109,29,FALSE)</f>
        <v>28.508190535884545</v>
      </c>
      <c r="L3" s="19" t="str">
        <f>VLOOKUP(Zuweisungen!D3,'DIN V 18599-10'!$B$2:$F$47,3,FALSE)</f>
        <v>2.8</v>
      </c>
      <c r="M3" s="19" t="str">
        <f>VLOOKUP(Zuweisungen!D3,'DIN V 18599-10'!$B$2:$F$47,4,FALSE)</f>
        <v>7.1</v>
      </c>
      <c r="N3" s="19" t="str">
        <f>VLOOKUP(Zuweisungen!D3,'DIN V 18599-10'!$B$2:$F$47,5,FALSE)</f>
        <v>15</v>
      </c>
      <c r="O3" s="10">
        <f>VLOOKUP(Zuweisungen!F3,'SIA 2024'!$C$2:$G$46,4,FALSE)</f>
        <v>3</v>
      </c>
      <c r="P3" s="11">
        <f>VLOOKUP(Zuweisungen!F3,'SIA 2024'!$C$2:$G$46,3,FALSE)</f>
        <v>7</v>
      </c>
      <c r="Q3" s="12">
        <f>VLOOKUP(Zuweisungen!F3,'SIA 2024'!$C$2:$G$46,5,FALSE)</f>
        <v>15</v>
      </c>
      <c r="R3" s="22">
        <f>VLOOKUP(B3,[2]usage_profiles!$E$2:$AH$109,30,FALSE)</f>
        <v>38.197156539659595</v>
      </c>
      <c r="S3" s="12">
        <f>VLOOKUP(B3,[2]usage_profiles!$E$2:$AH$109,30,FALSE)</f>
        <v>38.197156539659595</v>
      </c>
      <c r="T3" s="22">
        <f>VLOOKUP(B3,[2]usage_profiles!$E$2:$AH$109,30,FALSE)</f>
        <v>38.197156539659595</v>
      </c>
      <c r="U3">
        <f>VLOOKUP(Zuweisungen!D3,'DIN V 18599-10'!$B$2:$H$47,6,FALSE)</f>
        <v>7</v>
      </c>
      <c r="V3">
        <f>VLOOKUP(Zuweisungen!D3,'DIN V 18599-10'!$B$2:$H$47,7,FALSE)</f>
        <v>18</v>
      </c>
      <c r="W3">
        <f>VLOOKUP(Zuweisungen!F3,'SIA 2024'!$C$2:$I$46,6,FALSE)</f>
        <v>7</v>
      </c>
      <c r="X3">
        <f>VLOOKUP(Zuweisungen!F3,'SIA 2024'!$C$2:$I$46,7,FALSE)</f>
        <v>18</v>
      </c>
      <c r="Y3">
        <f>VLOOKUP(B3,[2]usage_profiles!$E$2:$AH$109,3,FALSE)</f>
        <v>7.0592321859730918</v>
      </c>
      <c r="Z3">
        <f>VLOOKUP(B3,[2]usage_profiles!$E$2:$AH$109,4,FALSE)</f>
        <v>18.165505538220042</v>
      </c>
    </row>
    <row r="4" spans="1:26" x14ac:dyDescent="0.25">
      <c r="A4" t="s">
        <v>244</v>
      </c>
      <c r="B4" t="s">
        <v>250</v>
      </c>
      <c r="C4" t="s">
        <v>92</v>
      </c>
      <c r="D4" s="1" t="str">
        <f>VLOOKUP(Zuweisungen!C4,'DIN V 18599-10'!$A$2:$B$47,2,FALSE)</f>
        <v>2</v>
      </c>
      <c r="E4" t="s">
        <v>51</v>
      </c>
      <c r="F4" t="str">
        <f>VLOOKUP(Zuweisungen!E4,'SIA 2024'!$A$2:$C$46,3,FALSE)</f>
        <v>3.1</v>
      </c>
      <c r="G4" t="str">
        <f>VLOOKUP(B4,[1]data_18599_10_default_avarge!$A$2:$M$112,1,FALSE)</f>
        <v>Bürogebäude</v>
      </c>
      <c r="H4">
        <f>VLOOKUP(B4,[1]data_18599_10_default_avarge!$A$2:$M$112,2,FALSE)</f>
        <v>4</v>
      </c>
      <c r="I4" s="9">
        <f>VLOOKUP(Zuweisungen!D4,'DIN V 18599-10'!$B$2:$F$47,2,FALSE)</f>
        <v>70</v>
      </c>
      <c r="J4" s="9">
        <f>VLOOKUP(Zuweisungen!F4,'SIA 2024'!$C$2:$G$46,2,FALSE)</f>
        <v>70</v>
      </c>
      <c r="K4" s="9">
        <f>VLOOKUP(B4,[2]usage_profiles!$E$2:$AH$109,29,FALSE)</f>
        <v>32.925601522244058</v>
      </c>
      <c r="L4" s="19" t="str">
        <f>VLOOKUP(Zuweisungen!D4,'DIN V 18599-10'!$B$2:$F$47,3,FALSE)</f>
        <v>2.8</v>
      </c>
      <c r="M4" s="19" t="str">
        <f>VLOOKUP(Zuweisungen!D4,'DIN V 18599-10'!$B$2:$F$47,4,FALSE)</f>
        <v>7.1</v>
      </c>
      <c r="N4" s="19" t="str">
        <f>VLOOKUP(Zuweisungen!D4,'DIN V 18599-10'!$B$2:$F$47,5,FALSE)</f>
        <v>15</v>
      </c>
      <c r="O4" s="10">
        <f>VLOOKUP(Zuweisungen!F4,'SIA 2024'!$C$2:$G$46,4,FALSE)</f>
        <v>3</v>
      </c>
      <c r="P4" s="11">
        <f>VLOOKUP(Zuweisungen!F4,'SIA 2024'!$C$2:$G$46,3,FALSE)</f>
        <v>7</v>
      </c>
      <c r="Q4" s="12">
        <f>VLOOKUP(Zuweisungen!F4,'SIA 2024'!$C$2:$G$46,5,FALSE)</f>
        <v>15</v>
      </c>
      <c r="R4" s="22">
        <f>VLOOKUP(B4,[2]usage_profiles!$E$2:$AH$109,30,FALSE)</f>
        <v>66.120123339392336</v>
      </c>
      <c r="S4" s="12">
        <f>VLOOKUP(B4,[2]usage_profiles!$E$2:$AH$109,30,FALSE)</f>
        <v>66.120123339392336</v>
      </c>
      <c r="T4" s="22">
        <f>VLOOKUP(B4,[2]usage_profiles!$E$2:$AH$109,30,FALSE)</f>
        <v>66.120123339392336</v>
      </c>
      <c r="U4">
        <f>VLOOKUP(Zuweisungen!D4,'DIN V 18599-10'!$B$2:$H$47,6,FALSE)</f>
        <v>7</v>
      </c>
      <c r="V4">
        <f>VLOOKUP(Zuweisungen!D4,'DIN V 18599-10'!$B$2:$H$47,7,FALSE)</f>
        <v>18</v>
      </c>
      <c r="W4">
        <f>VLOOKUP(Zuweisungen!F4,'SIA 2024'!$C$2:$I$46,6,FALSE)</f>
        <v>7</v>
      </c>
      <c r="X4">
        <f>VLOOKUP(Zuweisungen!F4,'SIA 2024'!$C$2:$I$46,7,FALSE)</f>
        <v>18</v>
      </c>
      <c r="Y4">
        <f>VLOOKUP(B4,[2]usage_profiles!$E$2:$AH$109,3,FALSE)</f>
        <v>6.8218918371501243</v>
      </c>
      <c r="Z4">
        <f>VLOOKUP(B4,[2]usage_profiles!$E$2:$AH$109,4,FALSE)</f>
        <v>18.280711565531028</v>
      </c>
    </row>
    <row r="5" spans="1:26" x14ac:dyDescent="0.25">
      <c r="A5" t="s">
        <v>244</v>
      </c>
      <c r="B5" t="s">
        <v>249</v>
      </c>
      <c r="C5" t="s">
        <v>92</v>
      </c>
      <c r="D5" s="1" t="str">
        <f>VLOOKUP(Zuweisungen!C5,'DIN V 18599-10'!$A$2:$B$47,2,FALSE)</f>
        <v>2</v>
      </c>
      <c r="E5" t="s">
        <v>51</v>
      </c>
      <c r="F5" t="str">
        <f>VLOOKUP(Zuweisungen!E5,'SIA 2024'!$A$2:$C$46,3,FALSE)</f>
        <v>3.1</v>
      </c>
      <c r="G5" t="str">
        <f>VLOOKUP(B5,[1]data_18599_10_default_avarge!$A$2:$M$112,1,FALSE)</f>
        <v>Rundfunk- oder Fernsehanstalt</v>
      </c>
      <c r="H5">
        <f>VLOOKUP(B5,[1]data_18599_10_default_avarge!$A$2:$M$112,2,FALSE)</f>
        <v>5</v>
      </c>
      <c r="I5" s="9">
        <f>VLOOKUP(Zuweisungen!D5,'DIN V 18599-10'!$B$2:$F$47,2,FALSE)</f>
        <v>70</v>
      </c>
      <c r="J5" s="9">
        <f>VLOOKUP(Zuweisungen!F5,'SIA 2024'!$C$2:$G$46,2,FALSE)</f>
        <v>70</v>
      </c>
      <c r="K5" s="9">
        <f>VLOOKUP(B5,[2]usage_profiles!$E$2:$AH$109,29,FALSE)</f>
        <v>32.925601522244058</v>
      </c>
      <c r="L5" s="19" t="str">
        <f>VLOOKUP(Zuweisungen!D5,'DIN V 18599-10'!$B$2:$F$47,3,FALSE)</f>
        <v>2.8</v>
      </c>
      <c r="M5" s="19" t="str">
        <f>VLOOKUP(Zuweisungen!D5,'DIN V 18599-10'!$B$2:$F$47,4,FALSE)</f>
        <v>7.1</v>
      </c>
      <c r="N5" s="19" t="str">
        <f>VLOOKUP(Zuweisungen!D5,'DIN V 18599-10'!$B$2:$F$47,5,FALSE)</f>
        <v>15</v>
      </c>
      <c r="O5" s="10">
        <f>VLOOKUP(Zuweisungen!F5,'SIA 2024'!$C$2:$G$46,4,FALSE)</f>
        <v>3</v>
      </c>
      <c r="P5" s="11">
        <f>VLOOKUP(Zuweisungen!F5,'SIA 2024'!$C$2:$G$46,3,FALSE)</f>
        <v>7</v>
      </c>
      <c r="Q5" s="12">
        <f>VLOOKUP(Zuweisungen!F5,'SIA 2024'!$C$2:$G$46,5,FALSE)</f>
        <v>15</v>
      </c>
      <c r="R5" s="22">
        <f>VLOOKUP(B5,[2]usage_profiles!$E$2:$AH$109,30,FALSE)</f>
        <v>66.120123339392336</v>
      </c>
      <c r="S5" s="12">
        <f>VLOOKUP(B5,[2]usage_profiles!$E$2:$AH$109,30,FALSE)</f>
        <v>66.120123339392336</v>
      </c>
      <c r="T5" s="22">
        <f>VLOOKUP(B5,[2]usage_profiles!$E$2:$AH$109,30,FALSE)</f>
        <v>66.120123339392336</v>
      </c>
      <c r="U5">
        <f>VLOOKUP(Zuweisungen!D5,'DIN V 18599-10'!$B$2:$H$47,6,FALSE)</f>
        <v>7</v>
      </c>
      <c r="V5">
        <f>VLOOKUP(Zuweisungen!D5,'DIN V 18599-10'!$B$2:$H$47,7,FALSE)</f>
        <v>18</v>
      </c>
      <c r="W5">
        <f>VLOOKUP(Zuweisungen!F5,'SIA 2024'!$C$2:$I$46,6,FALSE)</f>
        <v>7</v>
      </c>
      <c r="X5">
        <f>VLOOKUP(Zuweisungen!F5,'SIA 2024'!$C$2:$I$46,7,FALSE)</f>
        <v>18</v>
      </c>
      <c r="Y5">
        <f>VLOOKUP(B5,[2]usage_profiles!$E$2:$AH$109,3,FALSE)</f>
        <v>6.8218918371501243</v>
      </c>
      <c r="Z5">
        <f>VLOOKUP(B5,[2]usage_profiles!$E$2:$AH$109,4,FALSE)</f>
        <v>18.280711565531028</v>
      </c>
    </row>
    <row r="6" spans="1:26" x14ac:dyDescent="0.25">
      <c r="A6" t="s">
        <v>244</v>
      </c>
      <c r="B6" t="s">
        <v>252</v>
      </c>
      <c r="C6" t="s">
        <v>94</v>
      </c>
      <c r="D6" s="1" t="str">
        <f>VLOOKUP(Zuweisungen!C6,'DIN V 18599-10'!$A$2:$B$47,2,FALSE)</f>
        <v>3</v>
      </c>
      <c r="E6" t="s">
        <v>49</v>
      </c>
      <c r="F6" t="str">
        <f>VLOOKUP(Zuweisungen!E6,'SIA 2024'!$A$2:$C$46,3,FALSE)</f>
        <v>3.2</v>
      </c>
      <c r="G6" t="str">
        <f>VLOOKUP(B6,[1]data_18599_10_default_avarge!$A$2:$M$112,1,FALSE)</f>
        <v>Polizeipräsidium oder -station, Bürogebäude sonstiger Bereitschaftsdienste</v>
      </c>
      <c r="H6">
        <f>VLOOKUP(B6,[1]data_18599_10_default_avarge!$A$2:$M$112,2,FALSE)</f>
        <v>6</v>
      </c>
      <c r="I6" s="9">
        <f>VLOOKUP(Zuweisungen!D6,'DIN V 18599-10'!$B$2:$F$47,2,FALSE)</f>
        <v>70</v>
      </c>
      <c r="J6" s="9">
        <f>VLOOKUP(Zuweisungen!F6,'SIA 2024'!$C$2:$G$46,2,FALSE)</f>
        <v>70</v>
      </c>
      <c r="K6" s="9">
        <f>VLOOKUP(B6,[2]usage_profiles!$E$2:$AH$109,29,FALSE)</f>
        <v>30.754063561692025</v>
      </c>
      <c r="L6" s="19" t="str">
        <f>VLOOKUP(Zuweisungen!D6,'DIN V 18599-10'!$B$2:$F$47,3,FALSE)</f>
        <v>4.2</v>
      </c>
      <c r="M6" s="19" t="str">
        <f>VLOOKUP(Zuweisungen!D6,'DIN V 18599-10'!$B$2:$F$47,4,FALSE)</f>
        <v>10</v>
      </c>
      <c r="N6" s="19" t="str">
        <f>VLOOKUP(Zuweisungen!D6,'DIN V 18599-10'!$B$2:$F$47,5,FALSE)</f>
        <v>18.8</v>
      </c>
      <c r="O6" s="10">
        <f>VLOOKUP(Zuweisungen!F6,'SIA 2024'!$C$2:$G$46,4,FALSE)</f>
        <v>4</v>
      </c>
      <c r="P6" s="11">
        <f>VLOOKUP(Zuweisungen!F6,'SIA 2024'!$C$2:$G$46,3,FALSE)</f>
        <v>10</v>
      </c>
      <c r="Q6" s="12">
        <f>VLOOKUP(Zuweisungen!F6,'SIA 2024'!$C$2:$G$46,5,FALSE)</f>
        <v>19</v>
      </c>
      <c r="R6" s="22">
        <f>VLOOKUP(B6,[2]usage_profiles!$E$2:$AH$109,30,FALSE)</f>
        <v>42.886379666445244</v>
      </c>
      <c r="S6" s="12">
        <f>VLOOKUP(B6,[2]usage_profiles!$E$2:$AH$109,30,FALSE)</f>
        <v>42.886379666445244</v>
      </c>
      <c r="T6" s="22">
        <f>VLOOKUP(B6,[2]usage_profiles!$E$2:$AH$109,30,FALSE)</f>
        <v>42.886379666445244</v>
      </c>
      <c r="U6">
        <f>VLOOKUP(Zuweisungen!D6,'DIN V 18599-10'!$B$2:$H$47,6,FALSE)</f>
        <v>7</v>
      </c>
      <c r="V6">
        <f>VLOOKUP(Zuweisungen!D6,'DIN V 18599-10'!$B$2:$H$47,7,FALSE)</f>
        <v>18</v>
      </c>
      <c r="W6">
        <f>VLOOKUP(Zuweisungen!F6,'SIA 2024'!$C$2:$I$46,6,FALSE)</f>
        <v>7</v>
      </c>
      <c r="X6">
        <f>VLOOKUP(Zuweisungen!F6,'SIA 2024'!$C$2:$I$46,7,FALSE)</f>
        <v>18</v>
      </c>
      <c r="Y6">
        <f>VLOOKUP(B6,[2]usage_profiles!$E$2:$AH$109,3,FALSE)</f>
        <v>6.5292465652959901</v>
      </c>
      <c r="Z6">
        <f>VLOOKUP(B6,[2]usage_profiles!$E$2:$AH$109,4,FALSE)</f>
        <v>18.352777816536271</v>
      </c>
    </row>
    <row r="7" spans="1:26" x14ac:dyDescent="0.25">
      <c r="A7" t="s">
        <v>7</v>
      </c>
      <c r="B7" t="s">
        <v>334</v>
      </c>
      <c r="C7" t="s">
        <v>104</v>
      </c>
      <c r="D7" s="1" t="str">
        <f>VLOOKUP(Zuweisungen!C7,'DIN V 18599-10'!$A$2:$B$47,2,FALSE)</f>
        <v>9</v>
      </c>
      <c r="E7" t="s">
        <v>54</v>
      </c>
      <c r="F7" t="str">
        <f>VLOOKUP(Zuweisungen!E7,'SIA 2024'!$A$2:$C$46,3,FALSE)</f>
        <v>4.4</v>
      </c>
      <c r="G7" t="str">
        <f>VLOOKUP(B7,[1]data_18599_10_default_avarge!$A$2:$M$112,1,FALSE)</f>
        <v>Hörsaalgebäude</v>
      </c>
      <c r="H7">
        <f>VLOOKUP(B7,[1]data_18599_10_default_avarge!$A$2:$M$112,2,FALSE)</f>
        <v>8</v>
      </c>
      <c r="I7" s="9">
        <f>VLOOKUP(Zuweisungen!D7,'DIN V 18599-10'!$B$2:$F$47,2,FALSE)</f>
        <v>70</v>
      </c>
      <c r="J7" s="9">
        <f>VLOOKUP(Zuweisungen!F7,'SIA 2024'!$C$2:$G$46,2,FALSE)</f>
        <v>70</v>
      </c>
      <c r="K7" s="9">
        <f>VLOOKUP(B7,[2]usage_profiles!$E$2:$AH$109,29,FALSE)</f>
        <v>93.157451806249824</v>
      </c>
      <c r="L7" s="19" t="str">
        <f>VLOOKUP(Zuweisungen!D7,'DIN V 18599-10'!$B$2:$F$47,3,FALSE)</f>
        <v>2</v>
      </c>
      <c r="M7" s="19" t="str">
        <f>VLOOKUP(Zuweisungen!D7,'DIN V 18599-10'!$B$2:$F$47,4,FALSE)</f>
        <v>4</v>
      </c>
      <c r="N7" s="19" t="str">
        <f>VLOOKUP(Zuweisungen!D7,'DIN V 18599-10'!$B$2:$F$47,5,FALSE)</f>
        <v>6</v>
      </c>
      <c r="O7" s="10">
        <f>VLOOKUP(Zuweisungen!F7,'SIA 2024'!$C$2:$G$46,4,FALSE)</f>
        <v>2</v>
      </c>
      <c r="P7" s="11">
        <f>VLOOKUP(Zuweisungen!F7,'SIA 2024'!$C$2:$G$46,3,FALSE)</f>
        <v>4</v>
      </c>
      <c r="Q7" s="12">
        <f>VLOOKUP(Zuweisungen!F7,'SIA 2024'!$C$2:$G$46,5,FALSE)</f>
        <v>6</v>
      </c>
      <c r="R7" s="22">
        <f>VLOOKUP(B7,[2]usage_profiles!$E$2:$AH$109,30,FALSE)</f>
        <v>17.581380475969695</v>
      </c>
      <c r="S7" s="12">
        <f>VLOOKUP(B7,[2]usage_profiles!$E$2:$AH$109,30,FALSE)</f>
        <v>17.581380475969695</v>
      </c>
      <c r="T7" s="22">
        <f>VLOOKUP(B7,[2]usage_profiles!$E$2:$AH$109,30,FALSE)</f>
        <v>17.581380475969695</v>
      </c>
      <c r="U7">
        <f>VLOOKUP(Zuweisungen!D7,'DIN V 18599-10'!$B$2:$H$47,6,FALSE)</f>
        <v>8</v>
      </c>
      <c r="V7">
        <f>VLOOKUP(Zuweisungen!D7,'DIN V 18599-10'!$B$2:$H$47,7,FALSE)</f>
        <v>18</v>
      </c>
      <c r="W7">
        <f>VLOOKUP(Zuweisungen!F7,'SIA 2024'!$C$2:$I$46,6,FALSE)</f>
        <v>7</v>
      </c>
      <c r="X7">
        <f>VLOOKUP(Zuweisungen!F7,'SIA 2024'!$C$2:$I$46,7,FALSE)</f>
        <v>18</v>
      </c>
      <c r="Y7">
        <f>VLOOKUP(B7,[2]usage_profiles!$E$2:$AH$109,3,FALSE)</f>
        <v>7.1677272554481917</v>
      </c>
      <c r="Z7">
        <f>VLOOKUP(B7,[2]usage_profiles!$E$2:$AH$109,4,FALSE)</f>
        <v>18.027785034385989</v>
      </c>
    </row>
    <row r="8" spans="1:26" x14ac:dyDescent="0.25">
      <c r="A8" t="s">
        <v>7</v>
      </c>
      <c r="B8" t="s">
        <v>333</v>
      </c>
      <c r="C8" t="s">
        <v>92</v>
      </c>
      <c r="D8" s="1" t="str">
        <f>VLOOKUP(Zuweisungen!C8,'DIN V 18599-10'!$A$2:$B$47,2,FALSE)</f>
        <v>2</v>
      </c>
      <c r="E8" t="s">
        <v>49</v>
      </c>
      <c r="F8" t="str">
        <f>VLOOKUP(Zuweisungen!E8,'SIA 2024'!$A$2:$C$46,3,FALSE)</f>
        <v>3.2</v>
      </c>
      <c r="G8" t="str">
        <f>VLOOKUP(B8,[1]data_18599_10_default_avarge!$A$2:$M$112,1,FALSE)</f>
        <v>Verwaltungs- oder Seminargebäude</v>
      </c>
      <c r="H8">
        <f>VLOOKUP(B8,[1]data_18599_10_default_avarge!$A$2:$M$112,2,FALSE)</f>
        <v>9</v>
      </c>
      <c r="I8" s="9">
        <f>VLOOKUP(Zuweisungen!D8,'DIN V 18599-10'!$B$2:$F$47,2,FALSE)</f>
        <v>70</v>
      </c>
      <c r="J8" s="9">
        <f>VLOOKUP(Zuweisungen!F8,'SIA 2024'!$C$2:$G$46,2,FALSE)</f>
        <v>70</v>
      </c>
      <c r="K8" s="9">
        <f>VLOOKUP(B8,[2]usage_profiles!$E$2:$AH$109,29,FALSE)</f>
        <v>47.561165685691442</v>
      </c>
      <c r="L8" s="19" t="str">
        <f>VLOOKUP(Zuweisungen!D8,'DIN V 18599-10'!$B$2:$F$47,3,FALSE)</f>
        <v>2.8</v>
      </c>
      <c r="M8" s="19" t="str">
        <f>VLOOKUP(Zuweisungen!D8,'DIN V 18599-10'!$B$2:$F$47,4,FALSE)</f>
        <v>7.1</v>
      </c>
      <c r="N8" s="19" t="str">
        <f>VLOOKUP(Zuweisungen!D8,'DIN V 18599-10'!$B$2:$F$47,5,FALSE)</f>
        <v>15</v>
      </c>
      <c r="O8" s="10">
        <f>VLOOKUP(Zuweisungen!F8,'SIA 2024'!$C$2:$G$46,4,FALSE)</f>
        <v>4</v>
      </c>
      <c r="P8" s="11">
        <f>VLOOKUP(Zuweisungen!F8,'SIA 2024'!$C$2:$G$46,3,FALSE)</f>
        <v>10</v>
      </c>
      <c r="Q8" s="12">
        <f>VLOOKUP(Zuweisungen!F8,'SIA 2024'!$C$2:$G$46,5,FALSE)</f>
        <v>19</v>
      </c>
      <c r="R8" s="22">
        <f>VLOOKUP(B8,[2]usage_profiles!$E$2:$AH$109,30,FALSE)</f>
        <v>44.654334406595432</v>
      </c>
      <c r="S8" s="12">
        <f>VLOOKUP(B8,[2]usage_profiles!$E$2:$AH$109,30,FALSE)</f>
        <v>44.654334406595432</v>
      </c>
      <c r="T8" s="22">
        <f>VLOOKUP(B8,[2]usage_profiles!$E$2:$AH$109,30,FALSE)</f>
        <v>44.654334406595432</v>
      </c>
      <c r="U8">
        <f>VLOOKUP(Zuweisungen!D8,'DIN V 18599-10'!$B$2:$H$47,6,FALSE)</f>
        <v>7</v>
      </c>
      <c r="V8">
        <f>VLOOKUP(Zuweisungen!D8,'DIN V 18599-10'!$B$2:$H$47,7,FALSE)</f>
        <v>18</v>
      </c>
      <c r="W8">
        <f>VLOOKUP(Zuweisungen!F8,'SIA 2024'!$C$2:$I$46,6,FALSE)</f>
        <v>7</v>
      </c>
      <c r="X8">
        <f>VLOOKUP(Zuweisungen!F8,'SIA 2024'!$C$2:$I$46,7,FALSE)</f>
        <v>18</v>
      </c>
      <c r="Y8">
        <f>VLOOKUP(B8,[2]usage_profiles!$E$2:$AH$109,3,FALSE)</f>
        <v>7.0864830499784679</v>
      </c>
      <c r="Z8">
        <f>VLOOKUP(B8,[2]usage_profiles!$E$2:$AH$109,4,FALSE)</f>
        <v>18.026455568999815</v>
      </c>
    </row>
    <row r="9" spans="1:26" x14ac:dyDescent="0.25">
      <c r="A9" t="s">
        <v>7</v>
      </c>
      <c r="B9" t="s">
        <v>253</v>
      </c>
      <c r="C9" t="s">
        <v>154</v>
      </c>
      <c r="D9" s="1" t="str">
        <f>VLOOKUP(Zuweisungen!C9,'DIN V 18599-10'!$A$2:$B$47,2,FALSE)</f>
        <v>36</v>
      </c>
      <c r="E9" t="s">
        <v>220</v>
      </c>
      <c r="F9" t="str">
        <f>VLOOKUP(Zuweisungen!E9,'SIA 2024'!$A$2:$C$46,3,FALSE)</f>
        <v>9.3</v>
      </c>
      <c r="G9" t="str">
        <f>VLOOKUP(B9,[1]data_18599_10_default_avarge!$A$2:$M$112,1,FALSE)</f>
        <v>Institutsgebäude für Forschung und Lehre (Labor mit geringen Anforderungen an die Raumlufttechnik, z.B. Medizin, Informatik)</v>
      </c>
      <c r="H9">
        <f>VLOOKUP(B9,[1]data_18599_10_default_avarge!$A$2:$M$112,2,FALSE)</f>
        <v>10</v>
      </c>
      <c r="I9" s="9" t="str">
        <f>VLOOKUP(Zuweisungen!D9,'DIN V 18599-10'!$B$2:$F$47,2,FALSE)</f>
        <v>90</v>
      </c>
      <c r="J9" s="9">
        <f>VLOOKUP(Zuweisungen!F9,'SIA 2024'!$C$2:$G$46,2,FALSE)</f>
        <v>70</v>
      </c>
      <c r="K9" s="9">
        <f>VLOOKUP(B9,[2]usage_profiles!$E$2:$AH$109,29,FALSE)</f>
        <v>61.793723338476994</v>
      </c>
      <c r="L9" s="19" t="str">
        <f>VLOOKUP(Zuweisungen!D9,'DIN V 18599-10'!$B$2:$F$47,3,FALSE)</f>
        <v>6</v>
      </c>
      <c r="M9" s="19" t="str">
        <f>VLOOKUP(Zuweisungen!D9,'DIN V 18599-10'!$B$2:$F$47,4,FALSE)</f>
        <v>18</v>
      </c>
      <c r="N9" s="19" t="str">
        <f>VLOOKUP(Zuweisungen!D9,'DIN V 18599-10'!$B$2:$F$47,5,FALSE)</f>
        <v>63</v>
      </c>
      <c r="O9" s="10">
        <f>VLOOKUP(Zuweisungen!F9,'SIA 2024'!$C$2:$G$46,4,FALSE)</f>
        <v>15</v>
      </c>
      <c r="P9" s="11">
        <f>VLOOKUP(Zuweisungen!F9,'SIA 2024'!$C$2:$G$46,3,FALSE)</f>
        <v>20</v>
      </c>
      <c r="Q9" s="12">
        <f>VLOOKUP(Zuweisungen!F9,'SIA 2024'!$C$2:$G$46,5,FALSE)</f>
        <v>25</v>
      </c>
      <c r="R9" s="22">
        <f>VLOOKUP(B9,[2]usage_profiles!$E$2:$AH$109,30,FALSE)</f>
        <v>37.609775070895708</v>
      </c>
      <c r="S9" s="12">
        <f>VLOOKUP(B9,[2]usage_profiles!$E$2:$AH$109,30,FALSE)</f>
        <v>37.609775070895708</v>
      </c>
      <c r="T9" s="22">
        <f>VLOOKUP(B9,[2]usage_profiles!$E$2:$AH$109,30,FALSE)</f>
        <v>37.609775070895708</v>
      </c>
      <c r="U9">
        <f>VLOOKUP(Zuweisungen!D9,'DIN V 18599-10'!$B$2:$H$47,6,FALSE)</f>
        <v>7</v>
      </c>
      <c r="V9">
        <f>VLOOKUP(Zuweisungen!D9,'DIN V 18599-10'!$B$2:$H$47,7,FALSE)</f>
        <v>18</v>
      </c>
      <c r="W9">
        <f>VLOOKUP(Zuweisungen!F9,'SIA 2024'!$C$2:$I$46,6,FALSE)</f>
        <v>7</v>
      </c>
      <c r="X9">
        <f>VLOOKUP(Zuweisungen!F9,'SIA 2024'!$C$2:$I$46,7,FALSE)</f>
        <v>18</v>
      </c>
      <c r="Y9">
        <f>VLOOKUP(B9,[2]usage_profiles!$E$2:$AH$109,3,FALSE)</f>
        <v>7.113391188955541</v>
      </c>
      <c r="Z9">
        <f>VLOOKUP(B9,[2]usage_profiles!$E$2:$AH$109,4,FALSE)</f>
        <v>18.015316747262244</v>
      </c>
    </row>
    <row r="10" spans="1:26" x14ac:dyDescent="0.25">
      <c r="A10" t="s">
        <v>7</v>
      </c>
      <c r="B10" t="s">
        <v>254</v>
      </c>
      <c r="C10" t="s">
        <v>154</v>
      </c>
      <c r="D10" s="1" t="str">
        <f>VLOOKUP(Zuweisungen!C10,'DIN V 18599-10'!$A$2:$B$47,2,FALSE)</f>
        <v>36</v>
      </c>
      <c r="E10" t="s">
        <v>220</v>
      </c>
      <c r="F10" t="str">
        <f>VLOOKUP(Zuweisungen!E10,'SIA 2024'!$A$2:$C$46,3,FALSE)</f>
        <v>9.3</v>
      </c>
      <c r="G10" t="str">
        <f>VLOOKUP(B10,[1]data_18599_10_default_avarge!$A$2:$M$112,1,FALSE)</f>
        <v>Institutsgebäude für Forschung und Lehre (Labor mit hohen Anforderungen an die Raumlufttechnik, z.B. Chemie, Tierforschung)</v>
      </c>
      <c r="H10">
        <f>VLOOKUP(B10,[1]data_18599_10_default_avarge!$A$2:$M$112,2,FALSE)</f>
        <v>11</v>
      </c>
      <c r="I10" s="9" t="str">
        <f>VLOOKUP(Zuweisungen!D10,'DIN V 18599-10'!$B$2:$F$47,2,FALSE)</f>
        <v>90</v>
      </c>
      <c r="J10" s="9">
        <f>VLOOKUP(Zuweisungen!F10,'SIA 2024'!$C$2:$G$46,2,FALSE)</f>
        <v>70</v>
      </c>
      <c r="K10" s="9">
        <f>VLOOKUP(B10,[2]usage_profiles!$E$2:$AH$109,29,FALSE)</f>
        <v>25.695407741753478</v>
      </c>
      <c r="L10" s="19" t="str">
        <f>VLOOKUP(Zuweisungen!D10,'DIN V 18599-10'!$B$2:$F$47,3,FALSE)</f>
        <v>6</v>
      </c>
      <c r="M10" s="19" t="str">
        <f>VLOOKUP(Zuweisungen!D10,'DIN V 18599-10'!$B$2:$F$47,4,FALSE)</f>
        <v>18</v>
      </c>
      <c r="N10" s="19" t="str">
        <f>VLOOKUP(Zuweisungen!D10,'DIN V 18599-10'!$B$2:$F$47,5,FALSE)</f>
        <v>63</v>
      </c>
      <c r="O10" s="10">
        <f>VLOOKUP(Zuweisungen!F10,'SIA 2024'!$C$2:$G$46,4,FALSE)</f>
        <v>15</v>
      </c>
      <c r="P10" s="11">
        <f>VLOOKUP(Zuweisungen!F10,'SIA 2024'!$C$2:$G$46,3,FALSE)</f>
        <v>20</v>
      </c>
      <c r="Q10" s="12">
        <f>VLOOKUP(Zuweisungen!F10,'SIA 2024'!$C$2:$G$46,5,FALSE)</f>
        <v>25</v>
      </c>
      <c r="R10" s="22">
        <f>VLOOKUP(B10,[2]usage_profiles!$E$2:$AH$109,30,FALSE)</f>
        <v>48.604590243214375</v>
      </c>
      <c r="S10" s="12">
        <f>VLOOKUP(B10,[2]usage_profiles!$E$2:$AH$109,30,FALSE)</f>
        <v>48.604590243214375</v>
      </c>
      <c r="T10" s="22">
        <f>VLOOKUP(B10,[2]usage_profiles!$E$2:$AH$109,30,FALSE)</f>
        <v>48.604590243214375</v>
      </c>
      <c r="U10">
        <f>VLOOKUP(Zuweisungen!D10,'DIN V 18599-10'!$B$2:$H$47,6,FALSE)</f>
        <v>7</v>
      </c>
      <c r="V10">
        <f>VLOOKUP(Zuweisungen!D10,'DIN V 18599-10'!$B$2:$H$47,7,FALSE)</f>
        <v>18</v>
      </c>
      <c r="W10">
        <f>VLOOKUP(Zuweisungen!F10,'SIA 2024'!$C$2:$I$46,6,FALSE)</f>
        <v>7</v>
      </c>
      <c r="X10">
        <f>VLOOKUP(Zuweisungen!F10,'SIA 2024'!$C$2:$I$46,7,FALSE)</f>
        <v>18</v>
      </c>
      <c r="Y10">
        <f>VLOOKUP(B10,[2]usage_profiles!$E$2:$AH$109,3,FALSE)</f>
        <v>6.9987708303947436</v>
      </c>
      <c r="Z10">
        <f>VLOOKUP(B10,[2]usage_profiles!$E$2:$AH$109,4,FALSE)</f>
        <v>17.925242307614806</v>
      </c>
    </row>
    <row r="11" spans="1:26" x14ac:dyDescent="0.25">
      <c r="A11" t="s">
        <v>7</v>
      </c>
      <c r="B11" t="s">
        <v>255</v>
      </c>
      <c r="C11" t="s">
        <v>92</v>
      </c>
      <c r="D11" s="1" t="str">
        <f>VLOOKUP(Zuweisungen!C11,'DIN V 18599-10'!$A$2:$B$47,2,FALSE)</f>
        <v>2</v>
      </c>
      <c r="E11" t="s">
        <v>51</v>
      </c>
      <c r="F11" t="str">
        <f>VLOOKUP(Zuweisungen!E11,'SIA 2024'!$A$2:$C$46,3,FALSE)</f>
        <v>3.1</v>
      </c>
      <c r="G11" t="str">
        <f>VLOOKUP(B11,[1]data_18599_10_default_avarge!$A$2:$M$112,1,FALSE)</f>
        <v>Bürogebäude von Forschungsanstalten ohne Lehre</v>
      </c>
      <c r="H11">
        <f>VLOOKUP(B11,[1]data_18599_10_default_avarge!$A$2:$M$112,2,FALSE)</f>
        <v>12</v>
      </c>
      <c r="I11" s="9">
        <f>VLOOKUP(Zuweisungen!D11,'DIN V 18599-10'!$B$2:$F$47,2,FALSE)</f>
        <v>70</v>
      </c>
      <c r="J11" s="9">
        <f>VLOOKUP(Zuweisungen!F11,'SIA 2024'!$C$2:$G$46,2,FALSE)</f>
        <v>70</v>
      </c>
      <c r="K11" s="9">
        <f>VLOOKUP(B11,[2]usage_profiles!$E$2:$AH$109,29,FALSE)</f>
        <v>32.654840888323861</v>
      </c>
      <c r="L11" s="19" t="str">
        <f>VLOOKUP(Zuweisungen!D11,'DIN V 18599-10'!$B$2:$F$47,3,FALSE)</f>
        <v>2.8</v>
      </c>
      <c r="M11" s="19" t="str">
        <f>VLOOKUP(Zuweisungen!D11,'DIN V 18599-10'!$B$2:$F$47,4,FALSE)</f>
        <v>7.1</v>
      </c>
      <c r="N11" s="19" t="str">
        <f>VLOOKUP(Zuweisungen!D11,'DIN V 18599-10'!$B$2:$F$47,5,FALSE)</f>
        <v>15</v>
      </c>
      <c r="O11" s="10">
        <f>VLOOKUP(Zuweisungen!F11,'SIA 2024'!$C$2:$G$46,4,FALSE)</f>
        <v>3</v>
      </c>
      <c r="P11" s="11">
        <f>VLOOKUP(Zuweisungen!F11,'SIA 2024'!$C$2:$G$46,3,FALSE)</f>
        <v>7</v>
      </c>
      <c r="Q11" s="12">
        <f>VLOOKUP(Zuweisungen!F11,'SIA 2024'!$C$2:$G$46,5,FALSE)</f>
        <v>15</v>
      </c>
      <c r="R11" s="22">
        <f>VLOOKUP(B11,[2]usage_profiles!$E$2:$AH$109,30,FALSE)</f>
        <v>50.520678558658773</v>
      </c>
      <c r="S11" s="12">
        <f>VLOOKUP(B11,[2]usage_profiles!$E$2:$AH$109,30,FALSE)</f>
        <v>50.520678558658773</v>
      </c>
      <c r="T11" s="22">
        <f>VLOOKUP(B11,[2]usage_profiles!$E$2:$AH$109,30,FALSE)</f>
        <v>50.520678558658773</v>
      </c>
      <c r="U11">
        <f>VLOOKUP(Zuweisungen!D11,'DIN V 18599-10'!$B$2:$H$47,6,FALSE)</f>
        <v>7</v>
      </c>
      <c r="V11">
        <f>VLOOKUP(Zuweisungen!D11,'DIN V 18599-10'!$B$2:$H$47,7,FALSE)</f>
        <v>18</v>
      </c>
      <c r="W11">
        <f>VLOOKUP(Zuweisungen!F11,'SIA 2024'!$C$2:$I$46,6,FALSE)</f>
        <v>7</v>
      </c>
      <c r="X11">
        <f>VLOOKUP(Zuweisungen!F11,'SIA 2024'!$C$2:$I$46,7,FALSE)</f>
        <v>18</v>
      </c>
      <c r="Y11">
        <f>VLOOKUP(B11,[2]usage_profiles!$E$2:$AH$109,3,FALSE)</f>
        <v>6.7895594136109017</v>
      </c>
      <c r="Z11">
        <f>VLOOKUP(B11,[2]usage_profiles!$E$2:$AH$109,4,FALSE)</f>
        <v>18.20285248897541</v>
      </c>
    </row>
    <row r="12" spans="1:26" x14ac:dyDescent="0.25">
      <c r="A12" t="s">
        <v>7</v>
      </c>
      <c r="B12" t="s">
        <v>256</v>
      </c>
      <c r="C12" t="s">
        <v>154</v>
      </c>
      <c r="D12" s="1" t="str">
        <f>VLOOKUP(Zuweisungen!C12,'DIN V 18599-10'!$A$2:$B$47,2,FALSE)</f>
        <v>36</v>
      </c>
      <c r="E12" t="s">
        <v>220</v>
      </c>
      <c r="F12" t="str">
        <f>VLOOKUP(Zuweisungen!E12,'SIA 2024'!$A$2:$C$46,3,FALSE)</f>
        <v>9.3</v>
      </c>
      <c r="G12" t="str">
        <f>VLOOKUP(B12,[1]data_18599_10_default_avarge!$A$2:$M$112,1,FALSE)</f>
        <v>Laborgebäude von Forschungsanstalten und Unternehmen (Labor mit geringen Anforderungen an die Raumlufttechnik)</v>
      </c>
      <c r="H12">
        <f>VLOOKUP(B12,[1]data_18599_10_default_avarge!$A$2:$M$112,2,FALSE)</f>
        <v>13</v>
      </c>
      <c r="I12" s="9" t="str">
        <f>VLOOKUP(Zuweisungen!D12,'DIN V 18599-10'!$B$2:$F$47,2,FALSE)</f>
        <v>90</v>
      </c>
      <c r="J12" s="9">
        <f>VLOOKUP(Zuweisungen!F12,'SIA 2024'!$C$2:$G$46,2,FALSE)</f>
        <v>70</v>
      </c>
      <c r="K12" s="9">
        <f>VLOOKUP(B12,[2]usage_profiles!$E$2:$AH$109,29,FALSE)</f>
        <v>25.040255129670857</v>
      </c>
      <c r="L12" s="19" t="str">
        <f>VLOOKUP(Zuweisungen!D12,'DIN V 18599-10'!$B$2:$F$47,3,FALSE)</f>
        <v>6</v>
      </c>
      <c r="M12" s="19" t="str">
        <f>VLOOKUP(Zuweisungen!D12,'DIN V 18599-10'!$B$2:$F$47,4,FALSE)</f>
        <v>18</v>
      </c>
      <c r="N12" s="19" t="str">
        <f>VLOOKUP(Zuweisungen!D12,'DIN V 18599-10'!$B$2:$F$47,5,FALSE)</f>
        <v>63</v>
      </c>
      <c r="O12" s="10">
        <f>VLOOKUP(Zuweisungen!F12,'SIA 2024'!$C$2:$G$46,4,FALSE)</f>
        <v>15</v>
      </c>
      <c r="P12" s="11">
        <f>VLOOKUP(Zuweisungen!F12,'SIA 2024'!$C$2:$G$46,3,FALSE)</f>
        <v>20</v>
      </c>
      <c r="Q12" s="12">
        <f>VLOOKUP(Zuweisungen!F12,'SIA 2024'!$C$2:$G$46,5,FALSE)</f>
        <v>25</v>
      </c>
      <c r="R12" s="22">
        <f>VLOOKUP(B12,[2]usage_profiles!$E$2:$AH$109,30,FALSE)</f>
        <v>56.707784262992156</v>
      </c>
      <c r="S12" s="12">
        <f>VLOOKUP(B12,[2]usage_profiles!$E$2:$AH$109,30,FALSE)</f>
        <v>56.707784262992156</v>
      </c>
      <c r="T12" s="22">
        <f>VLOOKUP(B12,[2]usage_profiles!$E$2:$AH$109,30,FALSE)</f>
        <v>56.707784262992156</v>
      </c>
      <c r="U12">
        <f>VLOOKUP(Zuweisungen!D12,'DIN V 18599-10'!$B$2:$H$47,6,FALSE)</f>
        <v>7</v>
      </c>
      <c r="V12">
        <f>VLOOKUP(Zuweisungen!D12,'DIN V 18599-10'!$B$2:$H$47,7,FALSE)</f>
        <v>18</v>
      </c>
      <c r="W12">
        <f>VLOOKUP(Zuweisungen!F12,'SIA 2024'!$C$2:$I$46,6,FALSE)</f>
        <v>7</v>
      </c>
      <c r="X12">
        <f>VLOOKUP(Zuweisungen!F12,'SIA 2024'!$C$2:$I$46,7,FALSE)</f>
        <v>18</v>
      </c>
      <c r="Y12">
        <f>VLOOKUP(B12,[2]usage_profiles!$E$2:$AH$109,3,FALSE)</f>
        <v>6.9810859056902732</v>
      </c>
      <c r="Z12">
        <f>VLOOKUP(B12,[2]usage_profiles!$E$2:$AH$109,4,FALSE)</f>
        <v>17.962452614477407</v>
      </c>
    </row>
    <row r="13" spans="1:26" x14ac:dyDescent="0.25">
      <c r="A13" t="s">
        <v>7</v>
      </c>
      <c r="B13" t="s">
        <v>257</v>
      </c>
      <c r="C13" t="s">
        <v>154</v>
      </c>
      <c r="D13" s="1" t="str">
        <f>VLOOKUP(Zuweisungen!C13,'DIN V 18599-10'!$A$2:$B$47,2,FALSE)</f>
        <v>36</v>
      </c>
      <c r="E13" t="s">
        <v>220</v>
      </c>
      <c r="F13" t="str">
        <f>VLOOKUP(Zuweisungen!E13,'SIA 2024'!$A$2:$C$46,3,FALSE)</f>
        <v>9.3</v>
      </c>
      <c r="G13" t="str">
        <f>VLOOKUP(B13,[1]data_18599_10_default_avarge!$A$2:$M$112,1,FALSE)</f>
        <v>Laborgebäude von Forschungsanstalten und Unternehmen (Labor mit hohen Anforderungen an die Raumlufttechnik)</v>
      </c>
      <c r="H13">
        <f>VLOOKUP(B13,[1]data_18599_10_default_avarge!$A$2:$M$112,2,FALSE)</f>
        <v>14</v>
      </c>
      <c r="I13" s="9" t="str">
        <f>VLOOKUP(Zuweisungen!D13,'DIN V 18599-10'!$B$2:$F$47,2,FALSE)</f>
        <v>90</v>
      </c>
      <c r="J13" s="9">
        <f>VLOOKUP(Zuweisungen!F13,'SIA 2024'!$C$2:$G$46,2,FALSE)</f>
        <v>70</v>
      </c>
      <c r="K13" s="9">
        <f>VLOOKUP(B13,[2]usage_profiles!$E$2:$AH$109,29,FALSE)</f>
        <v>25.040255129670857</v>
      </c>
      <c r="L13" s="19" t="str">
        <f>VLOOKUP(Zuweisungen!D13,'DIN V 18599-10'!$B$2:$F$47,3,FALSE)</f>
        <v>6</v>
      </c>
      <c r="M13" s="19" t="str">
        <f>VLOOKUP(Zuweisungen!D13,'DIN V 18599-10'!$B$2:$F$47,4,FALSE)</f>
        <v>18</v>
      </c>
      <c r="N13" s="19" t="str">
        <f>VLOOKUP(Zuweisungen!D13,'DIN V 18599-10'!$B$2:$F$47,5,FALSE)</f>
        <v>63</v>
      </c>
      <c r="O13" s="10">
        <f>VLOOKUP(Zuweisungen!F13,'SIA 2024'!$C$2:$G$46,4,FALSE)</f>
        <v>15</v>
      </c>
      <c r="P13" s="11">
        <f>VLOOKUP(Zuweisungen!F13,'SIA 2024'!$C$2:$G$46,3,FALSE)</f>
        <v>20</v>
      </c>
      <c r="Q13" s="12">
        <f>VLOOKUP(Zuweisungen!F13,'SIA 2024'!$C$2:$G$46,5,FALSE)</f>
        <v>25</v>
      </c>
      <c r="R13" s="22">
        <f>VLOOKUP(B13,[2]usage_profiles!$E$2:$AH$109,30,FALSE)</f>
        <v>56.707784262992156</v>
      </c>
      <c r="S13" s="12">
        <f>VLOOKUP(B13,[2]usage_profiles!$E$2:$AH$109,30,FALSE)</f>
        <v>56.707784262992156</v>
      </c>
      <c r="T13" s="22">
        <f>VLOOKUP(B13,[2]usage_profiles!$E$2:$AH$109,30,FALSE)</f>
        <v>56.707784262992156</v>
      </c>
      <c r="U13">
        <f>VLOOKUP(Zuweisungen!D13,'DIN V 18599-10'!$B$2:$H$47,6,FALSE)</f>
        <v>7</v>
      </c>
      <c r="V13">
        <f>VLOOKUP(Zuweisungen!D13,'DIN V 18599-10'!$B$2:$H$47,7,FALSE)</f>
        <v>18</v>
      </c>
      <c r="W13">
        <f>VLOOKUP(Zuweisungen!F13,'SIA 2024'!$C$2:$I$46,6,FALSE)</f>
        <v>7</v>
      </c>
      <c r="X13">
        <f>VLOOKUP(Zuweisungen!F13,'SIA 2024'!$C$2:$I$46,7,FALSE)</f>
        <v>18</v>
      </c>
      <c r="Y13">
        <f>VLOOKUP(B13,[2]usage_profiles!$E$2:$AH$109,3,FALSE)</f>
        <v>6.9810859056902732</v>
      </c>
      <c r="Z13">
        <f>VLOOKUP(B13,[2]usage_profiles!$E$2:$AH$109,4,FALSE)</f>
        <v>17.962452614477407</v>
      </c>
    </row>
    <row r="14" spans="1:26" x14ac:dyDescent="0.25">
      <c r="A14" t="s">
        <v>15</v>
      </c>
      <c r="B14" t="s">
        <v>258</v>
      </c>
      <c r="C14" t="s">
        <v>106</v>
      </c>
      <c r="D14" s="1" t="str">
        <f>VLOOKUP(Zuweisungen!C14,'DIN V 18599-10'!$A$2:$B$47,2,FALSE)</f>
        <v>10</v>
      </c>
      <c r="E14" t="s">
        <v>2</v>
      </c>
      <c r="F14" t="str">
        <f>VLOOKUP(Zuweisungen!E14,'SIA 2024'!$A$2:$C$46,3,FALSE)</f>
        <v>8.1</v>
      </c>
      <c r="G14" t="str">
        <f>VLOOKUP(B14,[1]data_18599_10_default_avarge!$A$2:$M$112,1,FALSE)</f>
        <v>Hochschulklinik</v>
      </c>
      <c r="H14">
        <f>VLOOKUP(B14,[1]data_18599_10_default_avarge!$A$2:$M$112,2,FALSE)</f>
        <v>16</v>
      </c>
      <c r="I14" s="9">
        <f>VLOOKUP(Zuweisungen!D14,'DIN V 18599-10'!$B$2:$F$47,2,FALSE)</f>
        <v>70</v>
      </c>
      <c r="J14" s="9">
        <f>VLOOKUP(Zuweisungen!F14,'SIA 2024'!$C$2:$G$46,2,FALSE)</f>
        <v>70</v>
      </c>
      <c r="K14" s="9">
        <f>VLOOKUP(B14,[2]usage_profiles!$E$2:$AH$109,29,FALSE)</f>
        <v>45.968572910463536</v>
      </c>
      <c r="L14" s="19" t="str">
        <f>VLOOKUP(Zuweisungen!D14,'DIN V 18599-10'!$B$2:$F$47,3,FALSE)</f>
        <v>2</v>
      </c>
      <c r="M14" s="19" t="str">
        <f>VLOOKUP(Zuweisungen!D14,'DIN V 18599-10'!$B$2:$F$47,4,FALSE)</f>
        <v>4</v>
      </c>
      <c r="N14" s="19" t="str">
        <f>VLOOKUP(Zuweisungen!D14,'DIN V 18599-10'!$B$2:$F$47,5,FALSE)</f>
        <v>6</v>
      </c>
      <c r="O14" s="10">
        <f>VLOOKUP(Zuweisungen!F14,'SIA 2024'!$C$2:$G$46,4,FALSE)</f>
        <v>2</v>
      </c>
      <c r="P14" s="11">
        <f>VLOOKUP(Zuweisungen!F14,'SIA 2024'!$C$2:$G$46,3,FALSE)</f>
        <v>4</v>
      </c>
      <c r="Q14" s="12">
        <f>VLOOKUP(Zuweisungen!F14,'SIA 2024'!$C$2:$G$46,5,FALSE)</f>
        <v>6</v>
      </c>
      <c r="R14" s="22">
        <f>VLOOKUP(B14,[2]usage_profiles!$E$2:$AH$109,30,FALSE)</f>
        <v>25.24920759936224</v>
      </c>
      <c r="S14" s="12">
        <f>VLOOKUP(B14,[2]usage_profiles!$E$2:$AH$109,30,FALSE)</f>
        <v>25.24920759936224</v>
      </c>
      <c r="T14" s="22">
        <f>VLOOKUP(B14,[2]usage_profiles!$E$2:$AH$109,30,FALSE)</f>
        <v>25.24920759936224</v>
      </c>
      <c r="U14">
        <f>VLOOKUP(Zuweisungen!D14,'DIN V 18599-10'!$B$2:$H$47,6,FALSE)</f>
        <v>0</v>
      </c>
      <c r="V14">
        <f>VLOOKUP(Zuweisungen!D14,'DIN V 18599-10'!$B$2:$H$47,7,FALSE)</f>
        <v>24</v>
      </c>
      <c r="W14">
        <f>VLOOKUP(Zuweisungen!F14,'SIA 2024'!$C$2:$I$46,6,FALSE)</f>
        <v>0</v>
      </c>
      <c r="X14">
        <f>VLOOKUP(Zuweisungen!F14,'SIA 2024'!$C$2:$I$46,7,FALSE)</f>
        <v>24</v>
      </c>
      <c r="Y14">
        <f>VLOOKUP(B14,[2]usage_profiles!$E$2:$AH$109,3,FALSE)</f>
        <v>6.5397929192999991</v>
      </c>
      <c r="Z14">
        <f>VLOOKUP(B14,[2]usage_profiles!$E$2:$AH$109,4,FALSE)</f>
        <v>18.84042491883897</v>
      </c>
    </row>
    <row r="15" spans="1:26" x14ac:dyDescent="0.25">
      <c r="A15" t="s">
        <v>15</v>
      </c>
      <c r="B15" t="s">
        <v>259</v>
      </c>
      <c r="C15" t="s">
        <v>106</v>
      </c>
      <c r="D15" s="1" t="str">
        <f>VLOOKUP(Zuweisungen!C15,'DIN V 18599-10'!$A$2:$B$47,2,FALSE)</f>
        <v>10</v>
      </c>
      <c r="E15" t="s">
        <v>2</v>
      </c>
      <c r="F15" t="str">
        <f>VLOOKUP(Zuweisungen!E15,'SIA 2024'!$A$2:$C$46,3,FALSE)</f>
        <v>8.1</v>
      </c>
      <c r="G15" t="str">
        <f>VLOOKUP(B15,[1]data_18599_10_default_avarge!$A$2:$M$112,1,FALSE)</f>
        <v>Krankenhaus</v>
      </c>
      <c r="H15">
        <f>VLOOKUP(B15,[1]data_18599_10_default_avarge!$A$2:$M$112,2,FALSE)</f>
        <v>17</v>
      </c>
      <c r="I15" s="9">
        <f>VLOOKUP(Zuweisungen!D15,'DIN V 18599-10'!$B$2:$F$47,2,FALSE)</f>
        <v>70</v>
      </c>
      <c r="J15" s="9">
        <f>VLOOKUP(Zuweisungen!F15,'SIA 2024'!$C$2:$G$46,2,FALSE)</f>
        <v>70</v>
      </c>
      <c r="K15" s="9">
        <f>VLOOKUP(B15,[2]usage_profiles!$E$2:$AH$109,29,FALSE)</f>
        <v>50.36189584198415</v>
      </c>
      <c r="L15" s="19" t="str">
        <f>VLOOKUP(Zuweisungen!D15,'DIN V 18599-10'!$B$2:$F$47,3,FALSE)</f>
        <v>2</v>
      </c>
      <c r="M15" s="19" t="str">
        <f>VLOOKUP(Zuweisungen!D15,'DIN V 18599-10'!$B$2:$F$47,4,FALSE)</f>
        <v>4</v>
      </c>
      <c r="N15" s="19" t="str">
        <f>VLOOKUP(Zuweisungen!D15,'DIN V 18599-10'!$B$2:$F$47,5,FALSE)</f>
        <v>6</v>
      </c>
      <c r="O15" s="10">
        <f>VLOOKUP(Zuweisungen!F15,'SIA 2024'!$C$2:$G$46,4,FALSE)</f>
        <v>2</v>
      </c>
      <c r="P15" s="11">
        <f>VLOOKUP(Zuweisungen!F15,'SIA 2024'!$C$2:$G$46,3,FALSE)</f>
        <v>4</v>
      </c>
      <c r="Q15" s="12">
        <f>VLOOKUP(Zuweisungen!F15,'SIA 2024'!$C$2:$G$46,5,FALSE)</f>
        <v>6</v>
      </c>
      <c r="R15" s="22">
        <f>VLOOKUP(B15,[2]usage_profiles!$E$2:$AH$109,30,FALSE)</f>
        <v>27.180556761347475</v>
      </c>
      <c r="S15" s="12">
        <f>VLOOKUP(B15,[2]usage_profiles!$E$2:$AH$109,30,FALSE)</f>
        <v>27.180556761347475</v>
      </c>
      <c r="T15" s="22">
        <f>VLOOKUP(B15,[2]usage_profiles!$E$2:$AH$109,30,FALSE)</f>
        <v>27.180556761347475</v>
      </c>
      <c r="U15">
        <f>VLOOKUP(Zuweisungen!D15,'DIN V 18599-10'!$B$2:$H$47,6,FALSE)</f>
        <v>0</v>
      </c>
      <c r="V15">
        <f>VLOOKUP(Zuweisungen!D15,'DIN V 18599-10'!$B$2:$H$47,7,FALSE)</f>
        <v>24</v>
      </c>
      <c r="W15">
        <f>VLOOKUP(Zuweisungen!F15,'SIA 2024'!$C$2:$I$46,6,FALSE)</f>
        <v>0</v>
      </c>
      <c r="X15">
        <f>VLOOKUP(Zuweisungen!F15,'SIA 2024'!$C$2:$I$46,7,FALSE)</f>
        <v>24</v>
      </c>
      <c r="Y15">
        <f>VLOOKUP(B15,[2]usage_profiles!$E$2:$AH$109,3,FALSE)</f>
        <v>4.9497241954301465</v>
      </c>
      <c r="Z15">
        <f>VLOOKUP(B15,[2]usage_profiles!$E$2:$AH$109,4,FALSE)</f>
        <v>20.023564156446067</v>
      </c>
    </row>
    <row r="16" spans="1:26" x14ac:dyDescent="0.25">
      <c r="A16" t="s">
        <v>15</v>
      </c>
      <c r="B16" t="s">
        <v>260</v>
      </c>
      <c r="C16" t="s">
        <v>106</v>
      </c>
      <c r="D16" s="1" t="str">
        <f>VLOOKUP(Zuweisungen!C16,'DIN V 18599-10'!$A$2:$B$47,2,FALSE)</f>
        <v>10</v>
      </c>
      <c r="E16" t="s">
        <v>2</v>
      </c>
      <c r="F16" t="str">
        <f>VLOOKUP(Zuweisungen!E16,'SIA 2024'!$A$2:$C$46,3,FALSE)</f>
        <v>8.1</v>
      </c>
      <c r="G16" t="str">
        <f>VLOOKUP(B16,[1]data_18599_10_default_avarge!$A$2:$M$112,1,FALSE)</f>
        <v>Gebäude für teilstationäre Versorgung (z.B. Tagesklinik, Geburtshaus)</v>
      </c>
      <c r="H16">
        <f>VLOOKUP(B16,[1]data_18599_10_default_avarge!$A$2:$M$112,2,FALSE)</f>
        <v>18</v>
      </c>
      <c r="I16" s="9">
        <f>VLOOKUP(Zuweisungen!D16,'DIN V 18599-10'!$B$2:$F$47,2,FALSE)</f>
        <v>70</v>
      </c>
      <c r="J16" s="9">
        <f>VLOOKUP(Zuweisungen!F16,'SIA 2024'!$C$2:$G$46,2,FALSE)</f>
        <v>70</v>
      </c>
      <c r="K16" s="9">
        <f>VLOOKUP(B16,[2]usage_profiles!$E$2:$AH$109,29,FALSE)</f>
        <v>43.983233957140335</v>
      </c>
      <c r="L16" s="19" t="str">
        <f>VLOOKUP(Zuweisungen!D16,'DIN V 18599-10'!$B$2:$F$47,3,FALSE)</f>
        <v>2</v>
      </c>
      <c r="M16" s="19" t="str">
        <f>VLOOKUP(Zuweisungen!D16,'DIN V 18599-10'!$B$2:$F$47,4,FALSE)</f>
        <v>4</v>
      </c>
      <c r="N16" s="19" t="str">
        <f>VLOOKUP(Zuweisungen!D16,'DIN V 18599-10'!$B$2:$F$47,5,FALSE)</f>
        <v>6</v>
      </c>
      <c r="O16" s="10">
        <f>VLOOKUP(Zuweisungen!F16,'SIA 2024'!$C$2:$G$46,4,FALSE)</f>
        <v>2</v>
      </c>
      <c r="P16" s="11">
        <f>VLOOKUP(Zuweisungen!F16,'SIA 2024'!$C$2:$G$46,3,FALSE)</f>
        <v>4</v>
      </c>
      <c r="Q16" s="12">
        <f>VLOOKUP(Zuweisungen!F16,'SIA 2024'!$C$2:$G$46,5,FALSE)</f>
        <v>6</v>
      </c>
      <c r="R16" s="22">
        <f>VLOOKUP(B16,[2]usage_profiles!$E$2:$AH$109,30,FALSE)</f>
        <v>23.236239840998095</v>
      </c>
      <c r="S16" s="12">
        <f>VLOOKUP(B16,[2]usage_profiles!$E$2:$AH$109,30,FALSE)</f>
        <v>23.236239840998095</v>
      </c>
      <c r="T16" s="22">
        <f>VLOOKUP(B16,[2]usage_profiles!$E$2:$AH$109,30,FALSE)</f>
        <v>23.236239840998095</v>
      </c>
      <c r="U16">
        <f>VLOOKUP(Zuweisungen!D16,'DIN V 18599-10'!$B$2:$H$47,6,FALSE)</f>
        <v>0</v>
      </c>
      <c r="V16">
        <f>VLOOKUP(Zuweisungen!D16,'DIN V 18599-10'!$B$2:$H$47,7,FALSE)</f>
        <v>24</v>
      </c>
      <c r="W16">
        <f>VLOOKUP(Zuweisungen!F16,'SIA 2024'!$C$2:$I$46,6,FALSE)</f>
        <v>0</v>
      </c>
      <c r="X16">
        <f>VLOOKUP(Zuweisungen!F16,'SIA 2024'!$C$2:$I$46,7,FALSE)</f>
        <v>24</v>
      </c>
      <c r="Y16">
        <f>VLOOKUP(B16,[2]usage_profiles!$E$2:$AH$109,3,FALSE)</f>
        <v>7.2281716748332272</v>
      </c>
      <c r="Z16">
        <f>VLOOKUP(B16,[2]usage_profiles!$E$2:$AH$109,4,FALSE)</f>
        <v>18.338882657378441</v>
      </c>
    </row>
    <row r="17" spans="1:26" x14ac:dyDescent="0.25">
      <c r="A17" t="s">
        <v>15</v>
      </c>
      <c r="B17" t="s">
        <v>261</v>
      </c>
      <c r="C17" t="s">
        <v>155</v>
      </c>
      <c r="D17" s="1" t="str">
        <f>VLOOKUP(Zuweisungen!C17,'DIN V 18599-10'!$A$2:$B$47,2,FALSE)</f>
        <v>37</v>
      </c>
      <c r="E17" t="s">
        <v>14</v>
      </c>
      <c r="F17" t="str">
        <f>VLOOKUP(Zuweisungen!E17,'SIA 2024'!$A$2:$C$46,3,FALSE)</f>
        <v>11.2</v>
      </c>
      <c r="G17" t="str">
        <f>VLOOKUP(B17,[1]data_18599_10_default_avarge!$A$2:$M$112,1,FALSE)</f>
        <v>Rehabilitation</v>
      </c>
      <c r="H17">
        <f>VLOOKUP(B17,[1]data_18599_10_default_avarge!$A$2:$M$112,2,FALSE)</f>
        <v>19</v>
      </c>
      <c r="I17" s="9" t="str">
        <f>VLOOKUP(Zuweisungen!D17,'DIN V 18599-10'!$B$2:$F$47,2,FALSE)</f>
        <v>70</v>
      </c>
      <c r="J17" s="9">
        <f>VLOOKUP(Zuweisungen!F17,'SIA 2024'!$C$2:$G$46,2,FALSE)</f>
        <v>120</v>
      </c>
      <c r="K17" s="9">
        <f>VLOOKUP(B17,[2]usage_profiles!$E$2:$AH$109,29,FALSE)</f>
        <v>57.156288063337385</v>
      </c>
      <c r="L17" s="19" t="str">
        <f>VLOOKUP(Zuweisungen!D17,'DIN V 18599-10'!$B$2:$F$47,3,FALSE)</f>
        <v>4</v>
      </c>
      <c r="M17" s="19" t="str">
        <f>VLOOKUP(Zuweisungen!D17,'DIN V 18599-10'!$B$2:$F$47,4,FALSE)</f>
        <v>7</v>
      </c>
      <c r="N17" s="19" t="str">
        <f>VLOOKUP(Zuweisungen!D17,'DIN V 18599-10'!$B$2:$F$47,5,FALSE)</f>
        <v>10</v>
      </c>
      <c r="O17" s="10">
        <f>VLOOKUP(Zuweisungen!F17,'SIA 2024'!$C$2:$G$46,4,FALSE)</f>
        <v>1</v>
      </c>
      <c r="P17" s="11">
        <f>VLOOKUP(Zuweisungen!F17,'SIA 2024'!$C$2:$G$46,3,FALSE)</f>
        <v>2</v>
      </c>
      <c r="Q17" s="12">
        <f>VLOOKUP(Zuweisungen!F17,'SIA 2024'!$C$2:$G$46,5,FALSE)</f>
        <v>3</v>
      </c>
      <c r="R17" s="22">
        <f>VLOOKUP(B17,[2]usage_profiles!$E$2:$AH$109,30,FALSE)</f>
        <v>31.29579019488428</v>
      </c>
      <c r="S17" s="12">
        <f>VLOOKUP(B17,[2]usage_profiles!$E$2:$AH$109,30,FALSE)</f>
        <v>31.29579019488428</v>
      </c>
      <c r="T17" s="22">
        <f>VLOOKUP(B17,[2]usage_profiles!$E$2:$AH$109,30,FALSE)</f>
        <v>31.29579019488428</v>
      </c>
      <c r="U17">
        <f>VLOOKUP(Zuweisungen!D17,'DIN V 18599-10'!$B$2:$H$47,6,FALSE)</f>
        <v>7</v>
      </c>
      <c r="V17">
        <f>VLOOKUP(Zuweisungen!D17,'DIN V 18599-10'!$B$2:$H$47,7,FALSE)</f>
        <v>18</v>
      </c>
      <c r="W17">
        <f>VLOOKUP(Zuweisungen!F17,'SIA 2024'!$C$2:$I$46,6,FALSE)</f>
        <v>7</v>
      </c>
      <c r="X17">
        <f>VLOOKUP(Zuweisungen!F17,'SIA 2024'!$C$2:$I$46,7,FALSE)</f>
        <v>23</v>
      </c>
      <c r="Y17">
        <f>VLOOKUP(B17,[2]usage_profiles!$E$2:$AH$109,3,FALSE)</f>
        <v>5.6095843483556624</v>
      </c>
      <c r="Z17">
        <f>VLOOKUP(B17,[2]usage_profiles!$E$2:$AH$109,4,FALSE)</f>
        <v>19.230854141291104</v>
      </c>
    </row>
    <row r="18" spans="1:26" x14ac:dyDescent="0.25">
      <c r="A18" t="s">
        <v>15</v>
      </c>
      <c r="B18" t="s">
        <v>262</v>
      </c>
      <c r="C18" t="s">
        <v>106</v>
      </c>
      <c r="D18" s="1" t="str">
        <f>VLOOKUP(Zuweisungen!C18,'DIN V 18599-10'!$A$2:$B$47,2,FALSE)</f>
        <v>10</v>
      </c>
      <c r="E18" t="s">
        <v>2</v>
      </c>
      <c r="F18" t="str">
        <f>VLOOKUP(Zuweisungen!E18,'SIA 2024'!$A$2:$C$46,3,FALSE)</f>
        <v>8.1</v>
      </c>
      <c r="G18" t="str">
        <f>VLOOKUP(B18,[1]data_18599_10_default_avarge!$A$2:$M$112,1,FALSE)</f>
        <v>Kur und Genesung</v>
      </c>
      <c r="H18">
        <f>VLOOKUP(B18,[1]data_18599_10_default_avarge!$A$2:$M$112,2,FALSE)</f>
        <v>20</v>
      </c>
      <c r="I18" s="9">
        <f>VLOOKUP(Zuweisungen!D18,'DIN V 18599-10'!$B$2:$F$47,2,FALSE)</f>
        <v>70</v>
      </c>
      <c r="J18" s="9">
        <f>VLOOKUP(Zuweisungen!F18,'SIA 2024'!$C$2:$G$46,2,FALSE)</f>
        <v>70</v>
      </c>
      <c r="K18" s="9">
        <f>VLOOKUP(B18,[2]usage_profiles!$E$2:$AH$109,29,FALSE)</f>
        <v>48.934052189856253</v>
      </c>
      <c r="L18" s="19" t="str">
        <f>VLOOKUP(Zuweisungen!D18,'DIN V 18599-10'!$B$2:$F$47,3,FALSE)</f>
        <v>2</v>
      </c>
      <c r="M18" s="19" t="str">
        <f>VLOOKUP(Zuweisungen!D18,'DIN V 18599-10'!$B$2:$F$47,4,FALSE)</f>
        <v>4</v>
      </c>
      <c r="N18" s="19" t="str">
        <f>VLOOKUP(Zuweisungen!D18,'DIN V 18599-10'!$B$2:$F$47,5,FALSE)</f>
        <v>6</v>
      </c>
      <c r="O18" s="10">
        <f>VLOOKUP(Zuweisungen!F18,'SIA 2024'!$C$2:$G$46,4,FALSE)</f>
        <v>2</v>
      </c>
      <c r="P18" s="11">
        <f>VLOOKUP(Zuweisungen!F18,'SIA 2024'!$C$2:$G$46,3,FALSE)</f>
        <v>4</v>
      </c>
      <c r="Q18" s="12">
        <f>VLOOKUP(Zuweisungen!F18,'SIA 2024'!$C$2:$G$46,5,FALSE)</f>
        <v>6</v>
      </c>
      <c r="R18" s="22">
        <f>VLOOKUP(B18,[2]usage_profiles!$E$2:$AH$109,30,FALSE)</f>
        <v>39.861677602572463</v>
      </c>
      <c r="S18" s="12">
        <f>VLOOKUP(B18,[2]usage_profiles!$E$2:$AH$109,30,FALSE)</f>
        <v>39.861677602572463</v>
      </c>
      <c r="T18" s="22">
        <f>VLOOKUP(B18,[2]usage_profiles!$E$2:$AH$109,30,FALSE)</f>
        <v>39.861677602572463</v>
      </c>
      <c r="U18">
        <f>VLOOKUP(Zuweisungen!D18,'DIN V 18599-10'!$B$2:$H$47,6,FALSE)</f>
        <v>0</v>
      </c>
      <c r="V18">
        <f>VLOOKUP(Zuweisungen!D18,'DIN V 18599-10'!$B$2:$H$47,7,FALSE)</f>
        <v>24</v>
      </c>
      <c r="W18">
        <f>VLOOKUP(Zuweisungen!F18,'SIA 2024'!$C$2:$I$46,6,FALSE)</f>
        <v>0</v>
      </c>
      <c r="X18">
        <f>VLOOKUP(Zuweisungen!F18,'SIA 2024'!$C$2:$I$46,7,FALSE)</f>
        <v>24</v>
      </c>
      <c r="Y18">
        <f>VLOOKUP(B18,[2]usage_profiles!$E$2:$AH$109,3,FALSE)</f>
        <v>6.1522870398217</v>
      </c>
      <c r="Z18">
        <f>VLOOKUP(B18,[2]usage_profiles!$E$2:$AH$109,4,FALSE)</f>
        <v>18.034159164421709</v>
      </c>
    </row>
    <row r="19" spans="1:26" x14ac:dyDescent="0.25">
      <c r="A19" t="s">
        <v>15</v>
      </c>
      <c r="B19" t="s">
        <v>263</v>
      </c>
      <c r="C19" t="s">
        <v>158</v>
      </c>
      <c r="D19" s="1" t="str">
        <f>VLOOKUP(Zuweisungen!C19,'DIN V 18599-10'!$A$2:$B$47,2,FALSE)</f>
        <v>40</v>
      </c>
      <c r="E19" t="s">
        <v>69</v>
      </c>
      <c r="F19" t="str">
        <f>VLOOKUP(Zuweisungen!E19,'SIA 2024'!$A$2:$C$46,3,FALSE)</f>
        <v>8.3</v>
      </c>
      <c r="G19" t="str">
        <f>VLOOKUP(B19,[1]data_18599_10_default_avarge!$A$2:$M$112,1,FALSE)</f>
        <v>Medizinisches Versorgungszentrum, Ärztehaus</v>
      </c>
      <c r="H19">
        <f>VLOOKUP(B19,[1]data_18599_10_default_avarge!$A$2:$M$112,2,FALSE)</f>
        <v>21</v>
      </c>
      <c r="I19" s="9" t="str">
        <f>VLOOKUP(Zuweisungen!D19,'DIN V 18599-10'!$B$2:$F$47,2,FALSE)</f>
        <v>70</v>
      </c>
      <c r="J19" s="9">
        <f>VLOOKUP(Zuweisungen!F19,'SIA 2024'!$C$2:$G$46,2,FALSE)</f>
        <v>70</v>
      </c>
      <c r="K19" s="9">
        <f>VLOOKUP(B19,[2]usage_profiles!$E$2:$AH$109,29,FALSE)</f>
        <v>43.983233957140335</v>
      </c>
      <c r="L19" s="19" t="str">
        <f>VLOOKUP(Zuweisungen!D19,'DIN V 18599-10'!$B$2:$F$47,3,FALSE)</f>
        <v>3</v>
      </c>
      <c r="M19" s="19" t="str">
        <f>VLOOKUP(Zuweisungen!D19,'DIN V 18599-10'!$B$2:$F$47,4,FALSE)</f>
        <v>5</v>
      </c>
      <c r="N19" s="19" t="str">
        <f>VLOOKUP(Zuweisungen!D19,'DIN V 18599-10'!$B$2:$F$47,5,FALSE)</f>
        <v>7</v>
      </c>
      <c r="O19" s="10">
        <f>VLOOKUP(Zuweisungen!F19,'SIA 2024'!$C$2:$G$46,4,FALSE)</f>
        <v>10</v>
      </c>
      <c r="P19" s="11">
        <f>VLOOKUP(Zuweisungen!F19,'SIA 2024'!$C$2:$G$46,3,FALSE)</f>
        <v>20</v>
      </c>
      <c r="Q19" s="12">
        <f>VLOOKUP(Zuweisungen!F19,'SIA 2024'!$C$2:$G$46,5,FALSE)</f>
        <v>30</v>
      </c>
      <c r="R19" s="22">
        <f>VLOOKUP(B19,[2]usage_profiles!$E$2:$AH$109,30,FALSE)</f>
        <v>23.236239840998095</v>
      </c>
      <c r="S19" s="12">
        <f>VLOOKUP(B19,[2]usage_profiles!$E$2:$AH$109,30,FALSE)</f>
        <v>23.236239840998095</v>
      </c>
      <c r="T19" s="22">
        <f>VLOOKUP(B19,[2]usage_profiles!$E$2:$AH$109,30,FALSE)</f>
        <v>23.236239840998095</v>
      </c>
      <c r="U19">
        <f>VLOOKUP(Zuweisungen!D19,'DIN V 18599-10'!$B$2:$H$47,6,FALSE)</f>
        <v>8</v>
      </c>
      <c r="V19">
        <f>VLOOKUP(Zuweisungen!D19,'DIN V 18599-10'!$B$2:$H$47,7,FALSE)</f>
        <v>18</v>
      </c>
      <c r="W19">
        <f>VLOOKUP(Zuweisungen!F19,'SIA 2024'!$C$2:$I$46,6,FALSE)</f>
        <v>7</v>
      </c>
      <c r="X19">
        <f>VLOOKUP(Zuweisungen!F19,'SIA 2024'!$C$2:$I$46,7,FALSE)</f>
        <v>18</v>
      </c>
      <c r="Y19">
        <f>VLOOKUP(B19,[2]usage_profiles!$E$2:$AH$109,3,FALSE)</f>
        <v>7.2281716748332272</v>
      </c>
      <c r="Z19">
        <f>VLOOKUP(B19,[2]usage_profiles!$E$2:$AH$109,4,FALSE)</f>
        <v>18.338882657378441</v>
      </c>
    </row>
    <row r="20" spans="1:26" x14ac:dyDescent="0.25">
      <c r="A20" t="s">
        <v>15</v>
      </c>
      <c r="B20" t="s">
        <v>264</v>
      </c>
      <c r="C20" t="s">
        <v>158</v>
      </c>
      <c r="D20" s="1" t="str">
        <f>VLOOKUP(Zuweisungen!C20,'DIN V 18599-10'!$A$2:$B$47,2,FALSE)</f>
        <v>40</v>
      </c>
      <c r="E20" t="s">
        <v>69</v>
      </c>
      <c r="F20" t="str">
        <f>VLOOKUP(Zuweisungen!E20,'SIA 2024'!$A$2:$C$46,3,FALSE)</f>
        <v>8.3</v>
      </c>
      <c r="G20" t="str">
        <f>VLOOKUP(B20,[1]data_18599_10_default_avarge!$A$2:$M$112,1,FALSE)</f>
        <v>Arztpraxis</v>
      </c>
      <c r="H20">
        <f>VLOOKUP(B20,[1]data_18599_10_default_avarge!$A$2:$M$112,2,FALSE)</f>
        <v>22</v>
      </c>
      <c r="I20" s="9" t="str">
        <f>VLOOKUP(Zuweisungen!D20,'DIN V 18599-10'!$B$2:$F$47,2,FALSE)</f>
        <v>70</v>
      </c>
      <c r="J20" s="9">
        <f>VLOOKUP(Zuweisungen!F20,'SIA 2024'!$C$2:$G$46,2,FALSE)</f>
        <v>70</v>
      </c>
      <c r="K20" s="9">
        <f>VLOOKUP(B20,[2]usage_profiles!$E$2:$AH$109,29,FALSE)</f>
        <v>43.983233957140335</v>
      </c>
      <c r="L20" s="19" t="str">
        <f>VLOOKUP(Zuweisungen!D20,'DIN V 18599-10'!$B$2:$F$47,3,FALSE)</f>
        <v>3</v>
      </c>
      <c r="M20" s="19" t="str">
        <f>VLOOKUP(Zuweisungen!D20,'DIN V 18599-10'!$B$2:$F$47,4,FALSE)</f>
        <v>5</v>
      </c>
      <c r="N20" s="19" t="str">
        <f>VLOOKUP(Zuweisungen!D20,'DIN V 18599-10'!$B$2:$F$47,5,FALSE)</f>
        <v>7</v>
      </c>
      <c r="O20" s="10">
        <f>VLOOKUP(Zuweisungen!F20,'SIA 2024'!$C$2:$G$46,4,FALSE)</f>
        <v>10</v>
      </c>
      <c r="P20" s="11">
        <f>VLOOKUP(Zuweisungen!F20,'SIA 2024'!$C$2:$G$46,3,FALSE)</f>
        <v>20</v>
      </c>
      <c r="Q20" s="12">
        <f>VLOOKUP(Zuweisungen!F20,'SIA 2024'!$C$2:$G$46,5,FALSE)</f>
        <v>30</v>
      </c>
      <c r="R20" s="22">
        <f>VLOOKUP(B20,[2]usage_profiles!$E$2:$AH$109,30,FALSE)</f>
        <v>23.236239840998095</v>
      </c>
      <c r="S20" s="12">
        <f>VLOOKUP(B20,[2]usage_profiles!$E$2:$AH$109,30,FALSE)</f>
        <v>23.236239840998095</v>
      </c>
      <c r="T20" s="22">
        <f>VLOOKUP(B20,[2]usage_profiles!$E$2:$AH$109,30,FALSE)</f>
        <v>23.236239840998095</v>
      </c>
      <c r="U20">
        <f>VLOOKUP(Zuweisungen!D20,'DIN V 18599-10'!$B$2:$H$47,6,FALSE)</f>
        <v>8</v>
      </c>
      <c r="V20">
        <f>VLOOKUP(Zuweisungen!D20,'DIN V 18599-10'!$B$2:$H$47,7,FALSE)</f>
        <v>18</v>
      </c>
      <c r="W20">
        <f>VLOOKUP(Zuweisungen!F20,'SIA 2024'!$C$2:$I$46,6,FALSE)</f>
        <v>7</v>
      </c>
      <c r="X20">
        <f>VLOOKUP(Zuweisungen!F20,'SIA 2024'!$C$2:$I$46,7,FALSE)</f>
        <v>18</v>
      </c>
      <c r="Y20">
        <f>VLOOKUP(B20,[2]usage_profiles!$E$2:$AH$109,3,FALSE)</f>
        <v>7.2281716748332272</v>
      </c>
      <c r="Z20">
        <f>VLOOKUP(B20,[2]usage_profiles!$E$2:$AH$109,4,FALSE)</f>
        <v>18.338882657378441</v>
      </c>
    </row>
    <row r="21" spans="1:26" x14ac:dyDescent="0.25">
      <c r="A21" t="s">
        <v>15</v>
      </c>
      <c r="B21" t="s">
        <v>265</v>
      </c>
      <c r="C21" t="s">
        <v>158</v>
      </c>
      <c r="D21" s="1" t="str">
        <f>VLOOKUP(Zuweisungen!C21,'DIN V 18599-10'!$A$2:$B$47,2,FALSE)</f>
        <v>40</v>
      </c>
      <c r="E21" t="s">
        <v>69</v>
      </c>
      <c r="F21" t="str">
        <f>VLOOKUP(Zuweisungen!E21,'SIA 2024'!$A$2:$C$46,3,FALSE)</f>
        <v>8.3</v>
      </c>
      <c r="G21" t="str">
        <f>VLOOKUP(B21,[1]data_18599_10_default_avarge!$A$2:$M$112,1,FALSE)</f>
        <v>Notfallpraxis</v>
      </c>
      <c r="H21">
        <f>VLOOKUP(B21,[1]data_18599_10_default_avarge!$A$2:$M$112,2,FALSE)</f>
        <v>23</v>
      </c>
      <c r="I21" s="9" t="str">
        <f>VLOOKUP(Zuweisungen!D21,'DIN V 18599-10'!$B$2:$F$47,2,FALSE)</f>
        <v>70</v>
      </c>
      <c r="J21" s="9">
        <f>VLOOKUP(Zuweisungen!F21,'SIA 2024'!$C$2:$G$46,2,FALSE)</f>
        <v>70</v>
      </c>
      <c r="K21" s="9">
        <f>VLOOKUP(B21,[2]usage_profiles!$E$2:$AH$109,29,FALSE)</f>
        <v>43.983233957140335</v>
      </c>
      <c r="L21" s="19" t="str">
        <f>VLOOKUP(Zuweisungen!D21,'DIN V 18599-10'!$B$2:$F$47,3,FALSE)</f>
        <v>3</v>
      </c>
      <c r="M21" s="19" t="str">
        <f>VLOOKUP(Zuweisungen!D21,'DIN V 18599-10'!$B$2:$F$47,4,FALSE)</f>
        <v>5</v>
      </c>
      <c r="N21" s="19" t="str">
        <f>VLOOKUP(Zuweisungen!D21,'DIN V 18599-10'!$B$2:$F$47,5,FALSE)</f>
        <v>7</v>
      </c>
      <c r="O21" s="10">
        <f>VLOOKUP(Zuweisungen!F21,'SIA 2024'!$C$2:$G$46,4,FALSE)</f>
        <v>10</v>
      </c>
      <c r="P21" s="11">
        <f>VLOOKUP(Zuweisungen!F21,'SIA 2024'!$C$2:$G$46,3,FALSE)</f>
        <v>20</v>
      </c>
      <c r="Q21" s="12">
        <f>VLOOKUP(Zuweisungen!F21,'SIA 2024'!$C$2:$G$46,5,FALSE)</f>
        <v>30</v>
      </c>
      <c r="R21" s="22">
        <f>VLOOKUP(B21,[2]usage_profiles!$E$2:$AH$109,30,FALSE)</f>
        <v>23.236239840998095</v>
      </c>
      <c r="S21" s="12">
        <f>VLOOKUP(B21,[2]usage_profiles!$E$2:$AH$109,30,FALSE)</f>
        <v>23.236239840998095</v>
      </c>
      <c r="T21" s="22">
        <f>VLOOKUP(B21,[2]usage_profiles!$E$2:$AH$109,30,FALSE)</f>
        <v>23.236239840998095</v>
      </c>
      <c r="U21">
        <f>VLOOKUP(Zuweisungen!D21,'DIN V 18599-10'!$B$2:$H$47,6,FALSE)</f>
        <v>8</v>
      </c>
      <c r="V21">
        <f>VLOOKUP(Zuweisungen!D21,'DIN V 18599-10'!$B$2:$H$47,7,FALSE)</f>
        <v>18</v>
      </c>
      <c r="W21">
        <f>VLOOKUP(Zuweisungen!F21,'SIA 2024'!$C$2:$I$46,6,FALSE)</f>
        <v>7</v>
      </c>
      <c r="X21">
        <f>VLOOKUP(Zuweisungen!F21,'SIA 2024'!$C$2:$I$46,7,FALSE)</f>
        <v>18</v>
      </c>
      <c r="Y21">
        <f>VLOOKUP(B21,[2]usage_profiles!$E$2:$AH$109,3,FALSE)</f>
        <v>7.2281716748332272</v>
      </c>
      <c r="Z21">
        <f>VLOOKUP(B21,[2]usage_profiles!$E$2:$AH$109,4,FALSE)</f>
        <v>18.338882657378441</v>
      </c>
    </row>
    <row r="22" spans="1:26" x14ac:dyDescent="0.25">
      <c r="A22" t="s">
        <v>15</v>
      </c>
      <c r="B22" t="s">
        <v>266</v>
      </c>
      <c r="C22" t="s">
        <v>106</v>
      </c>
      <c r="D22" s="1" t="str">
        <f>VLOOKUP(Zuweisungen!C22,'DIN V 18599-10'!$A$2:$B$47,2,FALSE)</f>
        <v>10</v>
      </c>
      <c r="E22" t="s">
        <v>2</v>
      </c>
      <c r="F22" t="str">
        <f>VLOOKUP(Zuweisungen!E22,'SIA 2024'!$A$2:$C$46,3,FALSE)</f>
        <v>8.1</v>
      </c>
      <c r="G22" t="str">
        <f>VLOOKUP(B22,[1]data_18599_10_default_avarge!$A$2:$M$112,1,FALSE)</f>
        <v>Altenheim/Altenpflegeheim (ohne eigene Haushaltsführung der Bewohner/innen)</v>
      </c>
      <c r="H22">
        <f>VLOOKUP(B22,[1]data_18599_10_default_avarge!$A$2:$M$112,2,FALSE)</f>
        <v>24</v>
      </c>
      <c r="I22" s="9">
        <f>VLOOKUP(Zuweisungen!D22,'DIN V 18599-10'!$B$2:$F$47,2,FALSE)</f>
        <v>70</v>
      </c>
      <c r="J22" s="9">
        <f>VLOOKUP(Zuweisungen!F22,'SIA 2024'!$C$2:$G$46,2,FALSE)</f>
        <v>70</v>
      </c>
      <c r="K22" s="9">
        <f>VLOOKUP(B22,[2]usage_profiles!$E$2:$AH$109,29,FALSE)</f>
        <v>49.153866254670575</v>
      </c>
      <c r="L22" s="19" t="str">
        <f>VLOOKUP(Zuweisungen!D22,'DIN V 18599-10'!$B$2:$F$47,3,FALSE)</f>
        <v>2</v>
      </c>
      <c r="M22" s="19" t="str">
        <f>VLOOKUP(Zuweisungen!D22,'DIN V 18599-10'!$B$2:$F$47,4,FALSE)</f>
        <v>4</v>
      </c>
      <c r="N22" s="19" t="str">
        <f>VLOOKUP(Zuweisungen!D22,'DIN V 18599-10'!$B$2:$F$47,5,FALSE)</f>
        <v>6</v>
      </c>
      <c r="O22" s="10">
        <f>VLOOKUP(Zuweisungen!F22,'SIA 2024'!$C$2:$G$46,4,FALSE)</f>
        <v>2</v>
      </c>
      <c r="P22" s="11">
        <f>VLOOKUP(Zuweisungen!F22,'SIA 2024'!$C$2:$G$46,3,FALSE)</f>
        <v>4</v>
      </c>
      <c r="Q22" s="12">
        <f>VLOOKUP(Zuweisungen!F22,'SIA 2024'!$C$2:$G$46,5,FALSE)</f>
        <v>6</v>
      </c>
      <c r="R22" s="22">
        <f>VLOOKUP(B22,[2]usage_profiles!$E$2:$AH$109,30,FALSE)</f>
        <v>23.589680380616716</v>
      </c>
      <c r="S22" s="12">
        <f>VLOOKUP(B22,[2]usage_profiles!$E$2:$AH$109,30,FALSE)</f>
        <v>23.589680380616716</v>
      </c>
      <c r="T22" s="22">
        <f>VLOOKUP(B22,[2]usage_profiles!$E$2:$AH$109,30,FALSE)</f>
        <v>23.589680380616716</v>
      </c>
      <c r="U22">
        <f>VLOOKUP(Zuweisungen!D22,'DIN V 18599-10'!$B$2:$H$47,6,FALSE)</f>
        <v>0</v>
      </c>
      <c r="V22">
        <f>VLOOKUP(Zuweisungen!D22,'DIN V 18599-10'!$B$2:$H$47,7,FALSE)</f>
        <v>24</v>
      </c>
      <c r="W22">
        <f>VLOOKUP(Zuweisungen!F22,'SIA 2024'!$C$2:$I$46,6,FALSE)</f>
        <v>0</v>
      </c>
      <c r="X22">
        <f>VLOOKUP(Zuweisungen!F22,'SIA 2024'!$C$2:$I$46,7,FALSE)</f>
        <v>24</v>
      </c>
      <c r="Y22">
        <f>VLOOKUP(B22,[2]usage_profiles!$E$2:$AH$109,3,FALSE)</f>
        <v>6.3010904102583938</v>
      </c>
      <c r="Z22">
        <f>VLOOKUP(B22,[2]usage_profiles!$E$2:$AH$109,4,FALSE)</f>
        <v>19.006523747273626</v>
      </c>
    </row>
    <row r="23" spans="1:26" x14ac:dyDescent="0.25">
      <c r="A23" t="s">
        <v>15</v>
      </c>
      <c r="B23" t="s">
        <v>267</v>
      </c>
      <c r="C23" t="s">
        <v>106</v>
      </c>
      <c r="D23" s="1" t="str">
        <f>VLOOKUP(Zuweisungen!C23,'DIN V 18599-10'!$A$2:$B$47,2,FALSE)</f>
        <v>10</v>
      </c>
      <c r="E23" t="s">
        <v>2</v>
      </c>
      <c r="F23" t="str">
        <f>VLOOKUP(Zuweisungen!E23,'SIA 2024'!$A$2:$C$46,3,FALSE)</f>
        <v>8.1</v>
      </c>
      <c r="G23" t="str">
        <f>VLOOKUP(B23,[1]data_18599_10_default_avarge!$A$2:$M$112,1,FALSE)</f>
        <v>Pflegeheim für Behinderte (ohne eigene Haushaltsführung der Bewohner/innen)</v>
      </c>
      <c r="H23">
        <f>VLOOKUP(B23,[1]data_18599_10_default_avarge!$A$2:$M$112,2,FALSE)</f>
        <v>25</v>
      </c>
      <c r="I23" s="9">
        <f>VLOOKUP(Zuweisungen!D23,'DIN V 18599-10'!$B$2:$F$47,2,FALSE)</f>
        <v>70</v>
      </c>
      <c r="J23" s="9">
        <f>VLOOKUP(Zuweisungen!F23,'SIA 2024'!$C$2:$G$46,2,FALSE)</f>
        <v>70</v>
      </c>
      <c r="K23" s="9">
        <f>VLOOKUP(B23,[2]usage_profiles!$E$2:$AH$109,29,FALSE)</f>
        <v>49.153866254670575</v>
      </c>
      <c r="L23" s="19" t="str">
        <f>VLOOKUP(Zuweisungen!D23,'DIN V 18599-10'!$B$2:$F$47,3,FALSE)</f>
        <v>2</v>
      </c>
      <c r="M23" s="19" t="str">
        <f>VLOOKUP(Zuweisungen!D23,'DIN V 18599-10'!$B$2:$F$47,4,FALSE)</f>
        <v>4</v>
      </c>
      <c r="N23" s="19" t="str">
        <f>VLOOKUP(Zuweisungen!D23,'DIN V 18599-10'!$B$2:$F$47,5,FALSE)</f>
        <v>6</v>
      </c>
      <c r="O23" s="10">
        <f>VLOOKUP(Zuweisungen!F23,'SIA 2024'!$C$2:$G$46,4,FALSE)</f>
        <v>2</v>
      </c>
      <c r="P23" s="11">
        <f>VLOOKUP(Zuweisungen!F23,'SIA 2024'!$C$2:$G$46,3,FALSE)</f>
        <v>4</v>
      </c>
      <c r="Q23" s="12">
        <f>VLOOKUP(Zuweisungen!F23,'SIA 2024'!$C$2:$G$46,5,FALSE)</f>
        <v>6</v>
      </c>
      <c r="R23" s="22">
        <f>VLOOKUP(B23,[2]usage_profiles!$E$2:$AH$109,30,FALSE)</f>
        <v>23.589680380616716</v>
      </c>
      <c r="S23" s="12">
        <f>VLOOKUP(B23,[2]usage_profiles!$E$2:$AH$109,30,FALSE)</f>
        <v>23.589680380616716</v>
      </c>
      <c r="T23" s="22">
        <f>VLOOKUP(B23,[2]usage_profiles!$E$2:$AH$109,30,FALSE)</f>
        <v>23.589680380616716</v>
      </c>
      <c r="U23">
        <f>VLOOKUP(Zuweisungen!D23,'DIN V 18599-10'!$B$2:$H$47,6,FALSE)</f>
        <v>0</v>
      </c>
      <c r="V23">
        <f>VLOOKUP(Zuweisungen!D23,'DIN V 18599-10'!$B$2:$H$47,7,FALSE)</f>
        <v>24</v>
      </c>
      <c r="W23">
        <f>VLOOKUP(Zuweisungen!F23,'SIA 2024'!$C$2:$I$46,6,FALSE)</f>
        <v>0</v>
      </c>
      <c r="X23">
        <f>VLOOKUP(Zuweisungen!F23,'SIA 2024'!$C$2:$I$46,7,FALSE)</f>
        <v>24</v>
      </c>
      <c r="Y23">
        <f>VLOOKUP(B23,[2]usage_profiles!$E$2:$AH$109,3,FALSE)</f>
        <v>6.3010904102583938</v>
      </c>
      <c r="Z23">
        <f>VLOOKUP(B23,[2]usage_profiles!$E$2:$AH$109,4,FALSE)</f>
        <v>19.006523747273626</v>
      </c>
    </row>
    <row r="24" spans="1:26" x14ac:dyDescent="0.25">
      <c r="A24" t="s">
        <v>15</v>
      </c>
      <c r="B24" t="s">
        <v>268</v>
      </c>
      <c r="C24" t="s">
        <v>106</v>
      </c>
      <c r="D24" s="1" t="str">
        <f>VLOOKUP(Zuweisungen!C24,'DIN V 18599-10'!$A$2:$B$47,2,FALSE)</f>
        <v>10</v>
      </c>
      <c r="E24" t="s">
        <v>2</v>
      </c>
      <c r="F24" t="str">
        <f>VLOOKUP(Zuweisungen!E24,'SIA 2024'!$A$2:$C$46,3,FALSE)</f>
        <v>8.1</v>
      </c>
      <c r="G24" t="str">
        <f>VLOOKUP(B24,[1]data_18599_10_default_avarge!$A$2:$M$112,1,FALSE)</f>
        <v>Psychiatrische Pflegeheim (ohne eigene Haushaltsführung der Bewohner/innen)</v>
      </c>
      <c r="H24">
        <f>VLOOKUP(B24,[1]data_18599_10_default_avarge!$A$2:$M$112,2,FALSE)</f>
        <v>26</v>
      </c>
      <c r="I24" s="9">
        <f>VLOOKUP(Zuweisungen!D24,'DIN V 18599-10'!$B$2:$F$47,2,FALSE)</f>
        <v>70</v>
      </c>
      <c r="J24" s="9">
        <f>VLOOKUP(Zuweisungen!F24,'SIA 2024'!$C$2:$G$46,2,FALSE)</f>
        <v>70</v>
      </c>
      <c r="K24" s="9">
        <f>VLOOKUP(B24,[2]usage_profiles!$E$2:$AH$109,29,FALSE)</f>
        <v>49.153866254670575</v>
      </c>
      <c r="L24" s="19" t="str">
        <f>VLOOKUP(Zuweisungen!D24,'DIN V 18599-10'!$B$2:$F$47,3,FALSE)</f>
        <v>2</v>
      </c>
      <c r="M24" s="19" t="str">
        <f>VLOOKUP(Zuweisungen!D24,'DIN V 18599-10'!$B$2:$F$47,4,FALSE)</f>
        <v>4</v>
      </c>
      <c r="N24" s="19" t="str">
        <f>VLOOKUP(Zuweisungen!D24,'DIN V 18599-10'!$B$2:$F$47,5,FALSE)</f>
        <v>6</v>
      </c>
      <c r="O24" s="10">
        <f>VLOOKUP(Zuweisungen!F24,'SIA 2024'!$C$2:$G$46,4,FALSE)</f>
        <v>2</v>
      </c>
      <c r="P24" s="11">
        <f>VLOOKUP(Zuweisungen!F24,'SIA 2024'!$C$2:$G$46,3,FALSE)</f>
        <v>4</v>
      </c>
      <c r="Q24" s="12">
        <f>VLOOKUP(Zuweisungen!F24,'SIA 2024'!$C$2:$G$46,5,FALSE)</f>
        <v>6</v>
      </c>
      <c r="R24" s="22">
        <f>VLOOKUP(B24,[2]usage_profiles!$E$2:$AH$109,30,FALSE)</f>
        <v>23.589680380616716</v>
      </c>
      <c r="S24" s="12">
        <f>VLOOKUP(B24,[2]usage_profiles!$E$2:$AH$109,30,FALSE)</f>
        <v>23.589680380616716</v>
      </c>
      <c r="T24" s="22">
        <f>VLOOKUP(B24,[2]usage_profiles!$E$2:$AH$109,30,FALSE)</f>
        <v>23.589680380616716</v>
      </c>
      <c r="U24">
        <f>VLOOKUP(Zuweisungen!D24,'DIN V 18599-10'!$B$2:$H$47,6,FALSE)</f>
        <v>0</v>
      </c>
      <c r="V24">
        <f>VLOOKUP(Zuweisungen!D24,'DIN V 18599-10'!$B$2:$H$47,7,FALSE)</f>
        <v>24</v>
      </c>
      <c r="W24">
        <f>VLOOKUP(Zuweisungen!F24,'SIA 2024'!$C$2:$I$46,6,FALSE)</f>
        <v>0</v>
      </c>
      <c r="X24">
        <f>VLOOKUP(Zuweisungen!F24,'SIA 2024'!$C$2:$I$46,7,FALSE)</f>
        <v>24</v>
      </c>
      <c r="Y24">
        <f>VLOOKUP(B24,[2]usage_profiles!$E$2:$AH$109,3,FALSE)</f>
        <v>6.3010904102583938</v>
      </c>
      <c r="Z24">
        <f>VLOOKUP(B24,[2]usage_profiles!$E$2:$AH$109,4,FALSE)</f>
        <v>19.006523747273626</v>
      </c>
    </row>
    <row r="25" spans="1:26" x14ac:dyDescent="0.25">
      <c r="A25" t="s">
        <v>15</v>
      </c>
      <c r="B25" t="s">
        <v>269</v>
      </c>
      <c r="C25" t="s">
        <v>106</v>
      </c>
      <c r="D25" s="1" t="str">
        <f>VLOOKUP(Zuweisungen!C25,'DIN V 18599-10'!$A$2:$B$47,2,FALSE)</f>
        <v>10</v>
      </c>
      <c r="E25" t="s">
        <v>2</v>
      </c>
      <c r="F25" t="str">
        <f>VLOOKUP(Zuweisungen!E25,'SIA 2024'!$A$2:$C$46,3,FALSE)</f>
        <v>8.1</v>
      </c>
      <c r="G25" t="str">
        <f>VLOOKUP(B25,[1]data_18599_10_default_avarge!$A$2:$M$112,1,FALSE)</f>
        <v>Tagespflegeeinrichtung</v>
      </c>
      <c r="H25">
        <f>VLOOKUP(B25,[1]data_18599_10_default_avarge!$A$2:$M$112,2,FALSE)</f>
        <v>27</v>
      </c>
      <c r="I25" s="9">
        <f>VLOOKUP(Zuweisungen!D25,'DIN V 18599-10'!$B$2:$F$47,2,FALSE)</f>
        <v>70</v>
      </c>
      <c r="J25" s="9">
        <f>VLOOKUP(Zuweisungen!F25,'SIA 2024'!$C$2:$G$46,2,FALSE)</f>
        <v>70</v>
      </c>
      <c r="K25" s="9">
        <f>VLOOKUP(B25,[2]usage_profiles!$E$2:$AH$109,29,FALSE)</f>
        <v>49.153866254670575</v>
      </c>
      <c r="L25" s="19" t="str">
        <f>VLOOKUP(Zuweisungen!D25,'DIN V 18599-10'!$B$2:$F$47,3,FALSE)</f>
        <v>2</v>
      </c>
      <c r="M25" s="19" t="str">
        <f>VLOOKUP(Zuweisungen!D25,'DIN V 18599-10'!$B$2:$F$47,4,FALSE)</f>
        <v>4</v>
      </c>
      <c r="N25" s="19" t="str">
        <f>VLOOKUP(Zuweisungen!D25,'DIN V 18599-10'!$B$2:$F$47,5,FALSE)</f>
        <v>6</v>
      </c>
      <c r="O25" s="10">
        <f>VLOOKUP(Zuweisungen!F25,'SIA 2024'!$C$2:$G$46,4,FALSE)</f>
        <v>2</v>
      </c>
      <c r="P25" s="11">
        <f>VLOOKUP(Zuweisungen!F25,'SIA 2024'!$C$2:$G$46,3,FALSE)</f>
        <v>4</v>
      </c>
      <c r="Q25" s="12">
        <f>VLOOKUP(Zuweisungen!F25,'SIA 2024'!$C$2:$G$46,5,FALSE)</f>
        <v>6</v>
      </c>
      <c r="R25" s="22">
        <f>VLOOKUP(B25,[2]usage_profiles!$E$2:$AH$109,30,FALSE)</f>
        <v>23.589680380616716</v>
      </c>
      <c r="S25" s="12">
        <f>VLOOKUP(B25,[2]usage_profiles!$E$2:$AH$109,30,FALSE)</f>
        <v>23.589680380616716</v>
      </c>
      <c r="T25" s="22">
        <f>VLOOKUP(B25,[2]usage_profiles!$E$2:$AH$109,30,FALSE)</f>
        <v>23.589680380616716</v>
      </c>
      <c r="U25">
        <f>VLOOKUP(Zuweisungen!D25,'DIN V 18599-10'!$B$2:$H$47,6,FALSE)</f>
        <v>0</v>
      </c>
      <c r="V25">
        <f>VLOOKUP(Zuweisungen!D25,'DIN V 18599-10'!$B$2:$H$47,7,FALSE)</f>
        <v>24</v>
      </c>
      <c r="W25">
        <f>VLOOKUP(Zuweisungen!F25,'SIA 2024'!$C$2:$I$46,6,FALSE)</f>
        <v>0</v>
      </c>
      <c r="X25">
        <f>VLOOKUP(Zuweisungen!F25,'SIA 2024'!$C$2:$I$46,7,FALSE)</f>
        <v>24</v>
      </c>
      <c r="Y25">
        <f>VLOOKUP(B25,[2]usage_profiles!$E$2:$AH$109,3,FALSE)</f>
        <v>6.3010904102583938</v>
      </c>
      <c r="Z25">
        <f>VLOOKUP(B25,[2]usage_profiles!$E$2:$AH$109,4,FALSE)</f>
        <v>19.006523747273626</v>
      </c>
    </row>
    <row r="26" spans="1:26" x14ac:dyDescent="0.25">
      <c r="A26" t="s">
        <v>15</v>
      </c>
      <c r="B26" t="s">
        <v>270</v>
      </c>
      <c r="C26" t="s">
        <v>106</v>
      </c>
      <c r="D26" s="1" t="str">
        <f>VLOOKUP(Zuweisungen!C26,'DIN V 18599-10'!$A$2:$B$47,2,FALSE)</f>
        <v>10</v>
      </c>
      <c r="E26" t="s">
        <v>2</v>
      </c>
      <c r="F26" t="str">
        <f>VLOOKUP(Zuweisungen!E26,'SIA 2024'!$A$2:$C$46,3,FALSE)</f>
        <v>8.1</v>
      </c>
      <c r="G26" t="str">
        <f>VLOOKUP(B26,[1]data_18599_10_default_avarge!$A$2:$M$112,1,FALSE)</f>
        <v>Hospiz</v>
      </c>
      <c r="H26">
        <f>VLOOKUP(B26,[1]data_18599_10_default_avarge!$A$2:$M$112,2,FALSE)</f>
        <v>28</v>
      </c>
      <c r="I26" s="9">
        <f>VLOOKUP(Zuweisungen!D26,'DIN V 18599-10'!$B$2:$F$47,2,FALSE)</f>
        <v>70</v>
      </c>
      <c r="J26" s="9">
        <f>VLOOKUP(Zuweisungen!F26,'SIA 2024'!$C$2:$G$46,2,FALSE)</f>
        <v>70</v>
      </c>
      <c r="K26" s="9">
        <f>VLOOKUP(B26,[2]usage_profiles!$E$2:$AH$109,29,FALSE)</f>
        <v>49.153866254670575</v>
      </c>
      <c r="L26" s="19" t="str">
        <f>VLOOKUP(Zuweisungen!D26,'DIN V 18599-10'!$B$2:$F$47,3,FALSE)</f>
        <v>2</v>
      </c>
      <c r="M26" s="19" t="str">
        <f>VLOOKUP(Zuweisungen!D26,'DIN V 18599-10'!$B$2:$F$47,4,FALSE)</f>
        <v>4</v>
      </c>
      <c r="N26" s="19" t="str">
        <f>VLOOKUP(Zuweisungen!D26,'DIN V 18599-10'!$B$2:$F$47,5,FALSE)</f>
        <v>6</v>
      </c>
      <c r="O26" s="10">
        <f>VLOOKUP(Zuweisungen!F26,'SIA 2024'!$C$2:$G$46,4,FALSE)</f>
        <v>2</v>
      </c>
      <c r="P26" s="11">
        <f>VLOOKUP(Zuweisungen!F26,'SIA 2024'!$C$2:$G$46,3,FALSE)</f>
        <v>4</v>
      </c>
      <c r="Q26" s="12">
        <f>VLOOKUP(Zuweisungen!F26,'SIA 2024'!$C$2:$G$46,5,FALSE)</f>
        <v>6</v>
      </c>
      <c r="R26" s="22">
        <f>VLOOKUP(B26,[2]usage_profiles!$E$2:$AH$109,30,FALSE)</f>
        <v>23.589680380616716</v>
      </c>
      <c r="S26" s="12">
        <f>VLOOKUP(B26,[2]usage_profiles!$E$2:$AH$109,30,FALSE)</f>
        <v>23.589680380616716</v>
      </c>
      <c r="T26" s="22">
        <f>VLOOKUP(B26,[2]usage_profiles!$E$2:$AH$109,30,FALSE)</f>
        <v>23.589680380616716</v>
      </c>
      <c r="U26">
        <f>VLOOKUP(Zuweisungen!D26,'DIN V 18599-10'!$B$2:$H$47,6,FALSE)</f>
        <v>0</v>
      </c>
      <c r="V26">
        <f>VLOOKUP(Zuweisungen!D26,'DIN V 18599-10'!$B$2:$H$47,7,FALSE)</f>
        <v>24</v>
      </c>
      <c r="W26">
        <f>VLOOKUP(Zuweisungen!F26,'SIA 2024'!$C$2:$I$46,6,FALSE)</f>
        <v>0</v>
      </c>
      <c r="X26">
        <f>VLOOKUP(Zuweisungen!F26,'SIA 2024'!$C$2:$I$46,7,FALSE)</f>
        <v>24</v>
      </c>
      <c r="Y26">
        <f>VLOOKUP(B26,[2]usage_profiles!$E$2:$AH$109,3,FALSE)</f>
        <v>6.3010904102583938</v>
      </c>
      <c r="Z26">
        <f>VLOOKUP(B26,[2]usage_profiles!$E$2:$AH$109,4,FALSE)</f>
        <v>19.006523747273626</v>
      </c>
    </row>
    <row r="27" spans="1:26" x14ac:dyDescent="0.25">
      <c r="A27" t="s">
        <v>245</v>
      </c>
      <c r="B27" t="s">
        <v>271</v>
      </c>
      <c r="C27" t="s">
        <v>242</v>
      </c>
      <c r="D27" s="1" t="str">
        <f>VLOOKUP(Zuweisungen!C27,'DIN V 18599-10'!$A$2:$B$47,2,FALSE)</f>
        <v>8</v>
      </c>
      <c r="E27" t="s">
        <v>53</v>
      </c>
      <c r="F27" t="str">
        <f>VLOOKUP(Zuweisungen!E27,'SIA 2024'!$A$2:$C$46,3,FALSE)</f>
        <v>4.1</v>
      </c>
      <c r="G27" t="str">
        <f>VLOOKUP(B27,[1]data_18599_10_default_avarge!$A$2:$M$112,1,FALSE)</f>
        <v>Schule, allgemein</v>
      </c>
      <c r="H27">
        <f>VLOOKUP(B27,[1]data_18599_10_default_avarge!$A$2:$M$112,2,FALSE)</f>
        <v>30</v>
      </c>
      <c r="I27" s="9" t="str">
        <f>VLOOKUP(Zuweisungen!D27,'DIN V 18599-10'!$B$2:$F$47,2,FALSE)</f>
        <v>60</v>
      </c>
      <c r="J27" s="9">
        <f>VLOOKUP(Zuweisungen!F27,'SIA 2024'!$C$2:$G$46,2,FALSE)</f>
        <v>70</v>
      </c>
      <c r="K27" s="9">
        <f>VLOOKUP(B27,[2]usage_profiles!$E$2:$AH$109,29,FALSE)</f>
        <v>56.762840329894267</v>
      </c>
      <c r="L27" s="19" t="str">
        <f>VLOOKUP(Zuweisungen!D27,'DIN V 18599-10'!$B$2:$F$47,3,FALSE)</f>
        <v>2</v>
      </c>
      <c r="M27" s="19" t="str">
        <f>VLOOKUP(Zuweisungen!D27,'DIN V 18599-10'!$B$2:$F$47,4,FALSE)</f>
        <v>4</v>
      </c>
      <c r="N27" s="19" t="str">
        <f>VLOOKUP(Zuweisungen!D27,'DIN V 18599-10'!$B$2:$F$47,5,FALSE)</f>
        <v>6</v>
      </c>
      <c r="O27" s="10">
        <f>VLOOKUP(Zuweisungen!F27,'SIA 2024'!$C$2:$G$46,4,FALSE)</f>
        <v>2</v>
      </c>
      <c r="P27" s="11">
        <f>VLOOKUP(Zuweisungen!F27,'SIA 2024'!$C$2:$G$46,3,FALSE)</f>
        <v>4</v>
      </c>
      <c r="Q27" s="12">
        <f>VLOOKUP(Zuweisungen!F27,'SIA 2024'!$C$2:$G$46,5,FALSE)</f>
        <v>6</v>
      </c>
      <c r="R27" s="22">
        <f>VLOOKUP(B27,[2]usage_profiles!$E$2:$AH$109,30,FALSE)</f>
        <v>29.041432081421693</v>
      </c>
      <c r="S27" s="12">
        <f>VLOOKUP(B27,[2]usage_profiles!$E$2:$AH$109,30,FALSE)</f>
        <v>29.041432081421693</v>
      </c>
      <c r="T27" s="22">
        <f>VLOOKUP(B27,[2]usage_profiles!$E$2:$AH$109,30,FALSE)</f>
        <v>29.041432081421693</v>
      </c>
      <c r="U27">
        <f>VLOOKUP(Zuweisungen!D27,'DIN V 18599-10'!$B$2:$H$47,6,FALSE)</f>
        <v>8</v>
      </c>
      <c r="V27">
        <f>VLOOKUP(Zuweisungen!D27,'DIN V 18599-10'!$B$2:$H$47,7,FALSE)</f>
        <v>15</v>
      </c>
      <c r="W27">
        <f>VLOOKUP(Zuweisungen!F27,'SIA 2024'!$C$2:$I$46,6,FALSE)</f>
        <v>7</v>
      </c>
      <c r="X27">
        <f>VLOOKUP(Zuweisungen!F27,'SIA 2024'!$C$2:$I$46,7,FALSE)</f>
        <v>18</v>
      </c>
      <c r="Y27">
        <f>VLOOKUP(B27,[2]usage_profiles!$E$2:$AH$109,3,FALSE)</f>
        <v>7.4544487151047969</v>
      </c>
      <c r="Z27">
        <f>VLOOKUP(B27,[2]usage_profiles!$E$2:$AH$109,4,FALSE)</f>
        <v>16.986750643187381</v>
      </c>
    </row>
    <row r="28" spans="1:26" x14ac:dyDescent="0.25">
      <c r="A28" t="s">
        <v>245</v>
      </c>
      <c r="B28" t="s">
        <v>272</v>
      </c>
      <c r="C28" t="s">
        <v>242</v>
      </c>
      <c r="D28" s="1" t="str">
        <f>VLOOKUP(Zuweisungen!C28,'DIN V 18599-10'!$A$2:$B$47,2,FALSE)</f>
        <v>8</v>
      </c>
      <c r="E28" t="s">
        <v>53</v>
      </c>
      <c r="F28" t="str">
        <f>VLOOKUP(Zuweisungen!E28,'SIA 2024'!$A$2:$C$46,3,FALSE)</f>
        <v>4.1</v>
      </c>
      <c r="G28" t="str">
        <f>VLOOKUP(B28,[1]data_18599_10_default_avarge!$A$2:$M$112,1,FALSE)</f>
        <v>Ganztagesschule</v>
      </c>
      <c r="H28">
        <f>VLOOKUP(B28,[1]data_18599_10_default_avarge!$A$2:$M$112,2,FALSE)</f>
        <v>31</v>
      </c>
      <c r="I28" s="9" t="str">
        <f>VLOOKUP(Zuweisungen!D28,'DIN V 18599-10'!$B$2:$F$47,2,FALSE)</f>
        <v>60</v>
      </c>
      <c r="J28" s="9">
        <f>VLOOKUP(Zuweisungen!F28,'SIA 2024'!$C$2:$G$46,2,FALSE)</f>
        <v>70</v>
      </c>
      <c r="K28" s="9">
        <f>VLOOKUP(B28,[2]usage_profiles!$E$2:$AH$109,29,FALSE)</f>
        <v>44.479819778091255</v>
      </c>
      <c r="L28" s="19" t="str">
        <f>VLOOKUP(Zuweisungen!D28,'DIN V 18599-10'!$B$2:$F$47,3,FALSE)</f>
        <v>2</v>
      </c>
      <c r="M28" s="19" t="str">
        <f>VLOOKUP(Zuweisungen!D28,'DIN V 18599-10'!$B$2:$F$47,4,FALSE)</f>
        <v>4</v>
      </c>
      <c r="N28" s="19" t="str">
        <f>VLOOKUP(Zuweisungen!D28,'DIN V 18599-10'!$B$2:$F$47,5,FALSE)</f>
        <v>6</v>
      </c>
      <c r="O28" s="10">
        <f>VLOOKUP(Zuweisungen!F28,'SIA 2024'!$C$2:$G$46,4,FALSE)</f>
        <v>2</v>
      </c>
      <c r="P28" s="11">
        <f>VLOOKUP(Zuweisungen!F28,'SIA 2024'!$C$2:$G$46,3,FALSE)</f>
        <v>4</v>
      </c>
      <c r="Q28" s="12">
        <f>VLOOKUP(Zuweisungen!F28,'SIA 2024'!$C$2:$G$46,5,FALSE)</f>
        <v>6</v>
      </c>
      <c r="R28" s="22">
        <f>VLOOKUP(B28,[2]usage_profiles!$E$2:$AH$109,30,FALSE)</f>
        <v>33.809672189822521</v>
      </c>
      <c r="S28" s="12">
        <f>VLOOKUP(B28,[2]usage_profiles!$E$2:$AH$109,30,FALSE)</f>
        <v>33.809672189822521</v>
      </c>
      <c r="T28" s="22">
        <f>VLOOKUP(B28,[2]usage_profiles!$E$2:$AH$109,30,FALSE)</f>
        <v>33.809672189822521</v>
      </c>
      <c r="U28">
        <f>VLOOKUP(Zuweisungen!D28,'DIN V 18599-10'!$B$2:$H$47,6,FALSE)</f>
        <v>8</v>
      </c>
      <c r="V28">
        <f>VLOOKUP(Zuweisungen!D28,'DIN V 18599-10'!$B$2:$H$47,7,FALSE)</f>
        <v>15</v>
      </c>
      <c r="W28">
        <f>VLOOKUP(Zuweisungen!F28,'SIA 2024'!$C$2:$I$46,6,FALSE)</f>
        <v>7</v>
      </c>
      <c r="X28">
        <f>VLOOKUP(Zuweisungen!F28,'SIA 2024'!$C$2:$I$46,7,FALSE)</f>
        <v>18</v>
      </c>
      <c r="Y28">
        <f>VLOOKUP(B28,[2]usage_profiles!$E$2:$AH$109,3,FALSE)</f>
        <v>7.3799608396319787</v>
      </c>
      <c r="Z28">
        <f>VLOOKUP(B28,[2]usage_profiles!$E$2:$AH$109,4,FALSE)</f>
        <v>18.087584479019728</v>
      </c>
    </row>
    <row r="29" spans="1:26" x14ac:dyDescent="0.25">
      <c r="A29" t="s">
        <v>245</v>
      </c>
      <c r="B29" t="s">
        <v>273</v>
      </c>
      <c r="C29" t="s">
        <v>242</v>
      </c>
      <c r="D29" s="1" t="str">
        <f>VLOOKUP(Zuweisungen!C29,'DIN V 18599-10'!$A$2:$B$47,2,FALSE)</f>
        <v>8</v>
      </c>
      <c r="E29" t="s">
        <v>53</v>
      </c>
      <c r="F29" t="str">
        <f>VLOOKUP(Zuweisungen!E29,'SIA 2024'!$A$2:$C$46,3,FALSE)</f>
        <v>4.1</v>
      </c>
      <c r="G29" t="str">
        <f>VLOOKUP(B29,[1]data_18599_10_default_avarge!$A$2:$M$112,1,FALSE)</f>
        <v>Internatsschule</v>
      </c>
      <c r="H29">
        <f>VLOOKUP(B29,[1]data_18599_10_default_avarge!$A$2:$M$112,2,FALSE)</f>
        <v>32</v>
      </c>
      <c r="I29" s="9" t="str">
        <f>VLOOKUP(Zuweisungen!D29,'DIN V 18599-10'!$B$2:$F$47,2,FALSE)</f>
        <v>60</v>
      </c>
      <c r="J29" s="9">
        <f>VLOOKUP(Zuweisungen!F29,'SIA 2024'!$C$2:$G$46,2,FALSE)</f>
        <v>70</v>
      </c>
      <c r="K29" s="9">
        <f>VLOOKUP(B29,[2]usage_profiles!$E$2:$AH$109,29,FALSE)</f>
        <v>56.762840329894267</v>
      </c>
      <c r="L29" s="19" t="str">
        <f>VLOOKUP(Zuweisungen!D29,'DIN V 18599-10'!$B$2:$F$47,3,FALSE)</f>
        <v>2</v>
      </c>
      <c r="M29" s="19" t="str">
        <f>VLOOKUP(Zuweisungen!D29,'DIN V 18599-10'!$B$2:$F$47,4,FALSE)</f>
        <v>4</v>
      </c>
      <c r="N29" s="19" t="str">
        <f>VLOOKUP(Zuweisungen!D29,'DIN V 18599-10'!$B$2:$F$47,5,FALSE)</f>
        <v>6</v>
      </c>
      <c r="O29" s="10">
        <f>VLOOKUP(Zuweisungen!F29,'SIA 2024'!$C$2:$G$46,4,FALSE)</f>
        <v>2</v>
      </c>
      <c r="P29" s="11">
        <f>VLOOKUP(Zuweisungen!F29,'SIA 2024'!$C$2:$G$46,3,FALSE)</f>
        <v>4</v>
      </c>
      <c r="Q29" s="12">
        <f>VLOOKUP(Zuweisungen!F29,'SIA 2024'!$C$2:$G$46,5,FALSE)</f>
        <v>6</v>
      </c>
      <c r="R29" s="22">
        <f>VLOOKUP(B29,[2]usage_profiles!$E$2:$AH$109,30,FALSE)</f>
        <v>29.041432081421693</v>
      </c>
      <c r="S29" s="12">
        <f>VLOOKUP(B29,[2]usage_profiles!$E$2:$AH$109,30,FALSE)</f>
        <v>29.041432081421693</v>
      </c>
      <c r="T29" s="22">
        <f>VLOOKUP(B29,[2]usage_profiles!$E$2:$AH$109,30,FALSE)</f>
        <v>29.041432081421693</v>
      </c>
      <c r="U29">
        <f>VLOOKUP(Zuweisungen!D29,'DIN V 18599-10'!$B$2:$H$47,6,FALSE)</f>
        <v>8</v>
      </c>
      <c r="V29">
        <f>VLOOKUP(Zuweisungen!D29,'DIN V 18599-10'!$B$2:$H$47,7,FALSE)</f>
        <v>15</v>
      </c>
      <c r="W29">
        <f>VLOOKUP(Zuweisungen!F29,'SIA 2024'!$C$2:$I$46,6,FALSE)</f>
        <v>7</v>
      </c>
      <c r="X29">
        <f>VLOOKUP(Zuweisungen!F29,'SIA 2024'!$C$2:$I$46,7,FALSE)</f>
        <v>18</v>
      </c>
      <c r="Y29">
        <f>VLOOKUP(B29,[2]usage_profiles!$E$2:$AH$109,3,FALSE)</f>
        <v>7.4544487151047969</v>
      </c>
      <c r="Z29">
        <f>VLOOKUP(B29,[2]usage_profiles!$E$2:$AH$109,4,FALSE)</f>
        <v>16.986750643187381</v>
      </c>
    </row>
    <row r="30" spans="1:26" x14ac:dyDescent="0.25">
      <c r="A30" t="s">
        <v>245</v>
      </c>
      <c r="B30" t="s">
        <v>274</v>
      </c>
      <c r="C30" t="s">
        <v>242</v>
      </c>
      <c r="D30" s="1" t="str">
        <f>VLOOKUP(Zuweisungen!C30,'DIN V 18599-10'!$A$2:$B$47,2,FALSE)</f>
        <v>8</v>
      </c>
      <c r="E30" t="s">
        <v>53</v>
      </c>
      <c r="F30" t="str">
        <f>VLOOKUP(Zuweisungen!E30,'SIA 2024'!$A$2:$C$46,3,FALSE)</f>
        <v>4.1</v>
      </c>
      <c r="G30" t="str">
        <f>VLOOKUP(B30,[1]data_18599_10_default_avarge!$A$2:$M$112,1,FALSE)</f>
        <v>Förder-, Sonderschule</v>
      </c>
      <c r="H30">
        <f>VLOOKUP(B30,[1]data_18599_10_default_avarge!$A$2:$M$112,2,FALSE)</f>
        <v>33</v>
      </c>
      <c r="I30" s="9" t="str">
        <f>VLOOKUP(Zuweisungen!D30,'DIN V 18599-10'!$B$2:$F$47,2,FALSE)</f>
        <v>60</v>
      </c>
      <c r="J30" s="9">
        <f>VLOOKUP(Zuweisungen!F30,'SIA 2024'!$C$2:$G$46,2,FALSE)</f>
        <v>70</v>
      </c>
      <c r="K30" s="9">
        <f>VLOOKUP(B30,[2]usage_profiles!$E$2:$AH$109,29,FALSE)</f>
        <v>56.762840329894267</v>
      </c>
      <c r="L30" s="19" t="str">
        <f>VLOOKUP(Zuweisungen!D30,'DIN V 18599-10'!$B$2:$F$47,3,FALSE)</f>
        <v>2</v>
      </c>
      <c r="M30" s="19" t="str">
        <f>VLOOKUP(Zuweisungen!D30,'DIN V 18599-10'!$B$2:$F$47,4,FALSE)</f>
        <v>4</v>
      </c>
      <c r="N30" s="19" t="str">
        <f>VLOOKUP(Zuweisungen!D30,'DIN V 18599-10'!$B$2:$F$47,5,FALSE)</f>
        <v>6</v>
      </c>
      <c r="O30" s="10">
        <f>VLOOKUP(Zuweisungen!F30,'SIA 2024'!$C$2:$G$46,4,FALSE)</f>
        <v>2</v>
      </c>
      <c r="P30" s="11">
        <f>VLOOKUP(Zuweisungen!F30,'SIA 2024'!$C$2:$G$46,3,FALSE)</f>
        <v>4</v>
      </c>
      <c r="Q30" s="12">
        <f>VLOOKUP(Zuweisungen!F30,'SIA 2024'!$C$2:$G$46,5,FALSE)</f>
        <v>6</v>
      </c>
      <c r="R30" s="22">
        <f>VLOOKUP(B30,[2]usage_profiles!$E$2:$AH$109,30,FALSE)</f>
        <v>29.041432081421693</v>
      </c>
      <c r="S30" s="12">
        <f>VLOOKUP(B30,[2]usage_profiles!$E$2:$AH$109,30,FALSE)</f>
        <v>29.041432081421693</v>
      </c>
      <c r="T30" s="22">
        <f>VLOOKUP(B30,[2]usage_profiles!$E$2:$AH$109,30,FALSE)</f>
        <v>29.041432081421693</v>
      </c>
      <c r="U30">
        <f>VLOOKUP(Zuweisungen!D30,'DIN V 18599-10'!$B$2:$H$47,6,FALSE)</f>
        <v>8</v>
      </c>
      <c r="V30">
        <f>VLOOKUP(Zuweisungen!D30,'DIN V 18599-10'!$B$2:$H$47,7,FALSE)</f>
        <v>15</v>
      </c>
      <c r="W30">
        <f>VLOOKUP(Zuweisungen!F30,'SIA 2024'!$C$2:$I$46,6,FALSE)</f>
        <v>7</v>
      </c>
      <c r="X30">
        <f>VLOOKUP(Zuweisungen!F30,'SIA 2024'!$C$2:$I$46,7,FALSE)</f>
        <v>18</v>
      </c>
      <c r="Y30">
        <f>VLOOKUP(B30,[2]usage_profiles!$E$2:$AH$109,3,FALSE)</f>
        <v>7.4544487151047969</v>
      </c>
      <c r="Z30">
        <f>VLOOKUP(B30,[2]usage_profiles!$E$2:$AH$109,4,FALSE)</f>
        <v>16.986750643187381</v>
      </c>
    </row>
    <row r="31" spans="1:26" x14ac:dyDescent="0.25">
      <c r="A31" t="s">
        <v>245</v>
      </c>
      <c r="B31" t="s">
        <v>275</v>
      </c>
      <c r="C31" t="s">
        <v>242</v>
      </c>
      <c r="D31" s="1" t="str">
        <f>VLOOKUP(Zuweisungen!C31,'DIN V 18599-10'!$A$2:$B$47,2,FALSE)</f>
        <v>8</v>
      </c>
      <c r="E31" t="s">
        <v>53</v>
      </c>
      <c r="F31" t="str">
        <f>VLOOKUP(Zuweisungen!E31,'SIA 2024'!$A$2:$C$46,3,FALSE)</f>
        <v>4.1</v>
      </c>
      <c r="G31" t="str">
        <f>VLOOKUP(B31,[1]data_18599_10_default_avarge!$A$2:$M$112,1,FALSE)</f>
        <v>Berufsbildende Schule (gewerblich, wirtschaftlich)</v>
      </c>
      <c r="H31">
        <f>VLOOKUP(B31,[1]data_18599_10_default_avarge!$A$2:$M$112,2,FALSE)</f>
        <v>34</v>
      </c>
      <c r="I31" s="9" t="str">
        <f>VLOOKUP(Zuweisungen!D31,'DIN V 18599-10'!$B$2:$F$47,2,FALSE)</f>
        <v>60</v>
      </c>
      <c r="J31" s="9">
        <f>VLOOKUP(Zuweisungen!F31,'SIA 2024'!$C$2:$G$46,2,FALSE)</f>
        <v>70</v>
      </c>
      <c r="K31" s="9">
        <f>VLOOKUP(B31,[2]usage_profiles!$E$2:$AH$109,29,FALSE)</f>
        <v>65.508653971283564</v>
      </c>
      <c r="L31" s="19" t="str">
        <f>VLOOKUP(Zuweisungen!D31,'DIN V 18599-10'!$B$2:$F$47,3,FALSE)</f>
        <v>2</v>
      </c>
      <c r="M31" s="19" t="str">
        <f>VLOOKUP(Zuweisungen!D31,'DIN V 18599-10'!$B$2:$F$47,4,FALSE)</f>
        <v>4</v>
      </c>
      <c r="N31" s="19" t="str">
        <f>VLOOKUP(Zuweisungen!D31,'DIN V 18599-10'!$B$2:$F$47,5,FALSE)</f>
        <v>6</v>
      </c>
      <c r="O31" s="10">
        <f>VLOOKUP(Zuweisungen!F31,'SIA 2024'!$C$2:$G$46,4,FALSE)</f>
        <v>2</v>
      </c>
      <c r="P31" s="11">
        <f>VLOOKUP(Zuweisungen!F31,'SIA 2024'!$C$2:$G$46,3,FALSE)</f>
        <v>4</v>
      </c>
      <c r="Q31" s="12">
        <f>VLOOKUP(Zuweisungen!F31,'SIA 2024'!$C$2:$G$46,5,FALSE)</f>
        <v>6</v>
      </c>
      <c r="R31" s="22">
        <f>VLOOKUP(B31,[2]usage_profiles!$E$2:$AH$109,30,FALSE)</f>
        <v>37.656270333579144</v>
      </c>
      <c r="S31" s="12">
        <f>VLOOKUP(B31,[2]usage_profiles!$E$2:$AH$109,30,FALSE)</f>
        <v>37.656270333579144</v>
      </c>
      <c r="T31" s="22">
        <f>VLOOKUP(B31,[2]usage_profiles!$E$2:$AH$109,30,FALSE)</f>
        <v>37.656270333579144</v>
      </c>
      <c r="U31">
        <f>VLOOKUP(Zuweisungen!D31,'DIN V 18599-10'!$B$2:$H$47,6,FALSE)</f>
        <v>8</v>
      </c>
      <c r="V31">
        <f>VLOOKUP(Zuweisungen!D31,'DIN V 18599-10'!$B$2:$H$47,7,FALSE)</f>
        <v>15</v>
      </c>
      <c r="W31">
        <f>VLOOKUP(Zuweisungen!F31,'SIA 2024'!$C$2:$I$46,6,FALSE)</f>
        <v>7</v>
      </c>
      <c r="X31">
        <f>VLOOKUP(Zuweisungen!F31,'SIA 2024'!$C$2:$I$46,7,FALSE)</f>
        <v>18</v>
      </c>
      <c r="Y31">
        <f>VLOOKUP(B31,[2]usage_profiles!$E$2:$AH$109,3,FALSE)</f>
        <v>7.3481976315447008</v>
      </c>
      <c r="Z31">
        <f>VLOOKUP(B31,[2]usage_profiles!$E$2:$AH$109,4,FALSE)</f>
        <v>17.426799115082638</v>
      </c>
    </row>
    <row r="32" spans="1:26" x14ac:dyDescent="0.25">
      <c r="A32" t="s">
        <v>245</v>
      </c>
      <c r="B32" t="s">
        <v>276</v>
      </c>
      <c r="C32" t="s">
        <v>242</v>
      </c>
      <c r="D32" s="1" t="str">
        <f>VLOOKUP(Zuweisungen!C32,'DIN V 18599-10'!$A$2:$B$47,2,FALSE)</f>
        <v>8</v>
      </c>
      <c r="E32" t="s">
        <v>53</v>
      </c>
      <c r="F32" t="str">
        <f>VLOOKUP(Zuweisungen!E32,'SIA 2024'!$A$2:$C$46,3,FALSE)</f>
        <v>4.1</v>
      </c>
      <c r="G32" t="str">
        <f>VLOOKUP(B32,[1]data_18599_10_default_avarge!$A$2:$M$112,1,FALSE)</f>
        <v>Berufsbildende Schule (mit höherer technischer Ausstattung, z.B. Werkstätten)</v>
      </c>
      <c r="H32">
        <f>VLOOKUP(B32,[1]data_18599_10_default_avarge!$A$2:$M$112,2,FALSE)</f>
        <v>35</v>
      </c>
      <c r="I32" s="9" t="str">
        <f>VLOOKUP(Zuweisungen!D32,'DIN V 18599-10'!$B$2:$F$47,2,FALSE)</f>
        <v>60</v>
      </c>
      <c r="J32" s="9">
        <f>VLOOKUP(Zuweisungen!F32,'SIA 2024'!$C$2:$G$46,2,FALSE)</f>
        <v>70</v>
      </c>
      <c r="K32" s="9">
        <f>VLOOKUP(B32,[2]usage_profiles!$E$2:$AH$109,29,FALSE)</f>
        <v>65.508653971283564</v>
      </c>
      <c r="L32" s="19" t="str">
        <f>VLOOKUP(Zuweisungen!D32,'DIN V 18599-10'!$B$2:$F$47,3,FALSE)</f>
        <v>2</v>
      </c>
      <c r="M32" s="19" t="str">
        <f>VLOOKUP(Zuweisungen!D32,'DIN V 18599-10'!$B$2:$F$47,4,FALSE)</f>
        <v>4</v>
      </c>
      <c r="N32" s="19" t="str">
        <f>VLOOKUP(Zuweisungen!D32,'DIN V 18599-10'!$B$2:$F$47,5,FALSE)</f>
        <v>6</v>
      </c>
      <c r="O32" s="10">
        <f>VLOOKUP(Zuweisungen!F32,'SIA 2024'!$C$2:$G$46,4,FALSE)</f>
        <v>2</v>
      </c>
      <c r="P32" s="11">
        <f>VLOOKUP(Zuweisungen!F32,'SIA 2024'!$C$2:$G$46,3,FALSE)</f>
        <v>4</v>
      </c>
      <c r="Q32" s="12">
        <f>VLOOKUP(Zuweisungen!F32,'SIA 2024'!$C$2:$G$46,5,FALSE)</f>
        <v>6</v>
      </c>
      <c r="R32" s="22">
        <f>VLOOKUP(B32,[2]usage_profiles!$E$2:$AH$109,30,FALSE)</f>
        <v>37.656270333579144</v>
      </c>
      <c r="S32" s="12">
        <f>VLOOKUP(B32,[2]usage_profiles!$E$2:$AH$109,30,FALSE)</f>
        <v>37.656270333579144</v>
      </c>
      <c r="T32" s="22">
        <f>VLOOKUP(B32,[2]usage_profiles!$E$2:$AH$109,30,FALSE)</f>
        <v>37.656270333579144</v>
      </c>
      <c r="U32">
        <f>VLOOKUP(Zuweisungen!D32,'DIN V 18599-10'!$B$2:$H$47,6,FALSE)</f>
        <v>8</v>
      </c>
      <c r="V32">
        <f>VLOOKUP(Zuweisungen!D32,'DIN V 18599-10'!$B$2:$H$47,7,FALSE)</f>
        <v>15</v>
      </c>
      <c r="W32">
        <f>VLOOKUP(Zuweisungen!F32,'SIA 2024'!$C$2:$I$46,6,FALSE)</f>
        <v>7</v>
      </c>
      <c r="X32">
        <f>VLOOKUP(Zuweisungen!F32,'SIA 2024'!$C$2:$I$46,7,FALSE)</f>
        <v>18</v>
      </c>
      <c r="Y32">
        <f>VLOOKUP(B32,[2]usage_profiles!$E$2:$AH$109,3,FALSE)</f>
        <v>7.3481976315447008</v>
      </c>
      <c r="Z32">
        <f>VLOOKUP(B32,[2]usage_profiles!$E$2:$AH$109,4,FALSE)</f>
        <v>17.426799115082638</v>
      </c>
    </row>
    <row r="33" spans="1:26" x14ac:dyDescent="0.25">
      <c r="A33" t="s">
        <v>245</v>
      </c>
      <c r="B33" t="s">
        <v>277</v>
      </c>
      <c r="C33" t="s">
        <v>242</v>
      </c>
      <c r="D33" s="1" t="str">
        <f>VLOOKUP(Zuweisungen!C33,'DIN V 18599-10'!$A$2:$B$47,2,FALSE)</f>
        <v>8</v>
      </c>
      <c r="E33" t="s">
        <v>53</v>
      </c>
      <c r="F33" t="str">
        <f>VLOOKUP(Zuweisungen!E33,'SIA 2024'!$A$2:$C$46,3,FALSE)</f>
        <v>4.1</v>
      </c>
      <c r="G33" t="str">
        <f>VLOOKUP(B33,[1]data_18599_10_default_avarge!$A$2:$M$112,1,FALSE)</f>
        <v>Berufsakademie, Berufskolleg</v>
      </c>
      <c r="H33">
        <f>VLOOKUP(B33,[1]data_18599_10_default_avarge!$A$2:$M$112,2,FALSE)</f>
        <v>36</v>
      </c>
      <c r="I33" s="9" t="str">
        <f>VLOOKUP(Zuweisungen!D33,'DIN V 18599-10'!$B$2:$F$47,2,FALSE)</f>
        <v>60</v>
      </c>
      <c r="J33" s="9">
        <f>VLOOKUP(Zuweisungen!F33,'SIA 2024'!$C$2:$G$46,2,FALSE)</f>
        <v>70</v>
      </c>
      <c r="K33" s="9">
        <f>VLOOKUP(B33,[2]usage_profiles!$E$2:$AH$109,29,FALSE)</f>
        <v>65.508653971283564</v>
      </c>
      <c r="L33" s="19" t="str">
        <f>VLOOKUP(Zuweisungen!D33,'DIN V 18599-10'!$B$2:$F$47,3,FALSE)</f>
        <v>2</v>
      </c>
      <c r="M33" s="19" t="str">
        <f>VLOOKUP(Zuweisungen!D33,'DIN V 18599-10'!$B$2:$F$47,4,FALSE)</f>
        <v>4</v>
      </c>
      <c r="N33" s="19" t="str">
        <f>VLOOKUP(Zuweisungen!D33,'DIN V 18599-10'!$B$2:$F$47,5,FALSE)</f>
        <v>6</v>
      </c>
      <c r="O33" s="10">
        <f>VLOOKUP(Zuweisungen!F33,'SIA 2024'!$C$2:$G$46,4,FALSE)</f>
        <v>2</v>
      </c>
      <c r="P33" s="11">
        <f>VLOOKUP(Zuweisungen!F33,'SIA 2024'!$C$2:$G$46,3,FALSE)</f>
        <v>4</v>
      </c>
      <c r="Q33" s="12">
        <f>VLOOKUP(Zuweisungen!F33,'SIA 2024'!$C$2:$G$46,5,FALSE)</f>
        <v>6</v>
      </c>
      <c r="R33" s="22">
        <f>VLOOKUP(B33,[2]usage_profiles!$E$2:$AH$109,30,FALSE)</f>
        <v>37.656270333579144</v>
      </c>
      <c r="S33" s="12">
        <f>VLOOKUP(B33,[2]usage_profiles!$E$2:$AH$109,30,FALSE)</f>
        <v>37.656270333579144</v>
      </c>
      <c r="T33" s="22">
        <f>VLOOKUP(B33,[2]usage_profiles!$E$2:$AH$109,30,FALSE)</f>
        <v>37.656270333579144</v>
      </c>
      <c r="U33">
        <f>VLOOKUP(Zuweisungen!D33,'DIN V 18599-10'!$B$2:$H$47,6,FALSE)</f>
        <v>8</v>
      </c>
      <c r="V33">
        <f>VLOOKUP(Zuweisungen!D33,'DIN V 18599-10'!$B$2:$H$47,7,FALSE)</f>
        <v>15</v>
      </c>
      <c r="W33">
        <f>VLOOKUP(Zuweisungen!F33,'SIA 2024'!$C$2:$I$46,6,FALSE)</f>
        <v>7</v>
      </c>
      <c r="X33">
        <f>VLOOKUP(Zuweisungen!F33,'SIA 2024'!$C$2:$I$46,7,FALSE)</f>
        <v>18</v>
      </c>
      <c r="Y33">
        <f>VLOOKUP(B33,[2]usage_profiles!$E$2:$AH$109,3,FALSE)</f>
        <v>7.3481976315447008</v>
      </c>
      <c r="Z33">
        <f>VLOOKUP(B33,[2]usage_profiles!$E$2:$AH$109,4,FALSE)</f>
        <v>17.426799115082638</v>
      </c>
    </row>
    <row r="34" spans="1:26" x14ac:dyDescent="0.25">
      <c r="A34" t="s">
        <v>245</v>
      </c>
      <c r="B34" t="s">
        <v>278</v>
      </c>
      <c r="C34" t="s">
        <v>242</v>
      </c>
      <c r="D34" s="1" t="str">
        <f>VLOOKUP(Zuweisungen!C34,'DIN V 18599-10'!$A$2:$B$47,2,FALSE)</f>
        <v>8</v>
      </c>
      <c r="E34" t="s">
        <v>53</v>
      </c>
      <c r="F34" t="str">
        <f>VLOOKUP(Zuweisungen!E34,'SIA 2024'!$A$2:$C$46,3,FALSE)</f>
        <v>4.1</v>
      </c>
      <c r="G34" t="str">
        <f>VLOOKUP(B34,[1]data_18599_10_default_avarge!$A$2:$M$112,1,FALSE)</f>
        <v>Bildungszentrum</v>
      </c>
      <c r="H34">
        <f>VLOOKUP(B34,[1]data_18599_10_default_avarge!$A$2:$M$112,2,FALSE)</f>
        <v>37</v>
      </c>
      <c r="I34" s="9" t="str">
        <f>VLOOKUP(Zuweisungen!D34,'DIN V 18599-10'!$B$2:$F$47,2,FALSE)</f>
        <v>60</v>
      </c>
      <c r="J34" s="9">
        <f>VLOOKUP(Zuweisungen!F34,'SIA 2024'!$C$2:$G$46,2,FALSE)</f>
        <v>70</v>
      </c>
      <c r="K34" s="9">
        <f>VLOOKUP(B34,[2]usage_profiles!$E$2:$AH$109,29,FALSE)</f>
        <v>65.508653971283564</v>
      </c>
      <c r="L34" s="19" t="str">
        <f>VLOOKUP(Zuweisungen!D34,'DIN V 18599-10'!$B$2:$F$47,3,FALSE)</f>
        <v>2</v>
      </c>
      <c r="M34" s="19" t="str">
        <f>VLOOKUP(Zuweisungen!D34,'DIN V 18599-10'!$B$2:$F$47,4,FALSE)</f>
        <v>4</v>
      </c>
      <c r="N34" s="19" t="str">
        <f>VLOOKUP(Zuweisungen!D34,'DIN V 18599-10'!$B$2:$F$47,5,FALSE)</f>
        <v>6</v>
      </c>
      <c r="O34" s="10">
        <f>VLOOKUP(Zuweisungen!F34,'SIA 2024'!$C$2:$G$46,4,FALSE)</f>
        <v>2</v>
      </c>
      <c r="P34" s="11">
        <f>VLOOKUP(Zuweisungen!F34,'SIA 2024'!$C$2:$G$46,3,FALSE)</f>
        <v>4</v>
      </c>
      <c r="Q34" s="12">
        <f>VLOOKUP(Zuweisungen!F34,'SIA 2024'!$C$2:$G$46,5,FALSE)</f>
        <v>6</v>
      </c>
      <c r="R34" s="22">
        <f>VLOOKUP(B34,[2]usage_profiles!$E$2:$AH$109,30,FALSE)</f>
        <v>37.656270333579144</v>
      </c>
      <c r="S34" s="12">
        <f>VLOOKUP(B34,[2]usage_profiles!$E$2:$AH$109,30,FALSE)</f>
        <v>37.656270333579144</v>
      </c>
      <c r="T34" s="22">
        <f>VLOOKUP(B34,[2]usage_profiles!$E$2:$AH$109,30,FALSE)</f>
        <v>37.656270333579144</v>
      </c>
      <c r="U34">
        <f>VLOOKUP(Zuweisungen!D34,'DIN V 18599-10'!$B$2:$H$47,6,FALSE)</f>
        <v>8</v>
      </c>
      <c r="V34">
        <f>VLOOKUP(Zuweisungen!D34,'DIN V 18599-10'!$B$2:$H$47,7,FALSE)</f>
        <v>15</v>
      </c>
      <c r="W34">
        <f>VLOOKUP(Zuweisungen!F34,'SIA 2024'!$C$2:$I$46,6,FALSE)</f>
        <v>7</v>
      </c>
      <c r="X34">
        <f>VLOOKUP(Zuweisungen!F34,'SIA 2024'!$C$2:$I$46,7,FALSE)</f>
        <v>18</v>
      </c>
      <c r="Y34">
        <f>VLOOKUP(B34,[2]usage_profiles!$E$2:$AH$109,3,FALSE)</f>
        <v>7.3481976315447008</v>
      </c>
      <c r="Z34">
        <f>VLOOKUP(B34,[2]usage_profiles!$E$2:$AH$109,4,FALSE)</f>
        <v>17.426799115082638</v>
      </c>
    </row>
    <row r="35" spans="1:26" x14ac:dyDescent="0.25">
      <c r="A35" t="s">
        <v>245</v>
      </c>
      <c r="B35" t="s">
        <v>279</v>
      </c>
      <c r="C35" t="s">
        <v>242</v>
      </c>
      <c r="D35" s="1" t="str">
        <f>VLOOKUP(Zuweisungen!C35,'DIN V 18599-10'!$A$2:$B$47,2,FALSE)</f>
        <v>8</v>
      </c>
      <c r="E35" t="s">
        <v>53</v>
      </c>
      <c r="F35" t="str">
        <f>VLOOKUP(Zuweisungen!E35,'SIA 2024'!$A$2:$C$46,3,FALSE)</f>
        <v>4.1</v>
      </c>
      <c r="G35" t="str">
        <f>VLOOKUP(B35,[1]data_18599_10_default_avarge!$A$2:$M$112,1,FALSE)</f>
        <v>Ausbildungsstätte</v>
      </c>
      <c r="H35">
        <f>VLOOKUP(B35,[1]data_18599_10_default_avarge!$A$2:$M$112,2,FALSE)</f>
        <v>38</v>
      </c>
      <c r="I35" s="9" t="str">
        <f>VLOOKUP(Zuweisungen!D35,'DIN V 18599-10'!$B$2:$F$47,2,FALSE)</f>
        <v>60</v>
      </c>
      <c r="J35" s="9">
        <f>VLOOKUP(Zuweisungen!F35,'SIA 2024'!$C$2:$G$46,2,FALSE)</f>
        <v>70</v>
      </c>
      <c r="K35" s="9">
        <f>VLOOKUP(B35,[2]usage_profiles!$E$2:$AH$109,29,FALSE)</f>
        <v>65.508653971283564</v>
      </c>
      <c r="L35" s="19" t="str">
        <f>VLOOKUP(Zuweisungen!D35,'DIN V 18599-10'!$B$2:$F$47,3,FALSE)</f>
        <v>2</v>
      </c>
      <c r="M35" s="19" t="str">
        <f>VLOOKUP(Zuweisungen!D35,'DIN V 18599-10'!$B$2:$F$47,4,FALSE)</f>
        <v>4</v>
      </c>
      <c r="N35" s="19" t="str">
        <f>VLOOKUP(Zuweisungen!D35,'DIN V 18599-10'!$B$2:$F$47,5,FALSE)</f>
        <v>6</v>
      </c>
      <c r="O35" s="10">
        <f>VLOOKUP(Zuweisungen!F35,'SIA 2024'!$C$2:$G$46,4,FALSE)</f>
        <v>2</v>
      </c>
      <c r="P35" s="11">
        <f>VLOOKUP(Zuweisungen!F35,'SIA 2024'!$C$2:$G$46,3,FALSE)</f>
        <v>4</v>
      </c>
      <c r="Q35" s="12">
        <f>VLOOKUP(Zuweisungen!F35,'SIA 2024'!$C$2:$G$46,5,FALSE)</f>
        <v>6</v>
      </c>
      <c r="R35" s="22">
        <f>VLOOKUP(B35,[2]usage_profiles!$E$2:$AH$109,30,FALSE)</f>
        <v>37.656270333579144</v>
      </c>
      <c r="S35" s="12">
        <f>VLOOKUP(B35,[2]usage_profiles!$E$2:$AH$109,30,FALSE)</f>
        <v>37.656270333579144</v>
      </c>
      <c r="T35" s="22">
        <f>VLOOKUP(B35,[2]usage_profiles!$E$2:$AH$109,30,FALSE)</f>
        <v>37.656270333579144</v>
      </c>
      <c r="U35">
        <f>VLOOKUP(Zuweisungen!D35,'DIN V 18599-10'!$B$2:$H$47,6,FALSE)</f>
        <v>8</v>
      </c>
      <c r="V35">
        <f>VLOOKUP(Zuweisungen!D35,'DIN V 18599-10'!$B$2:$H$47,7,FALSE)</f>
        <v>15</v>
      </c>
      <c r="W35">
        <f>VLOOKUP(Zuweisungen!F35,'SIA 2024'!$C$2:$I$46,6,FALSE)</f>
        <v>7</v>
      </c>
      <c r="X35">
        <f>VLOOKUP(Zuweisungen!F35,'SIA 2024'!$C$2:$I$46,7,FALSE)</f>
        <v>18</v>
      </c>
      <c r="Y35">
        <f>VLOOKUP(B35,[2]usage_profiles!$E$2:$AH$109,3,FALSE)</f>
        <v>7.3481976315447008</v>
      </c>
      <c r="Z35">
        <f>VLOOKUP(B35,[2]usage_profiles!$E$2:$AH$109,4,FALSE)</f>
        <v>17.426799115082638</v>
      </c>
    </row>
    <row r="36" spans="1:26" x14ac:dyDescent="0.25">
      <c r="A36" t="s">
        <v>245</v>
      </c>
      <c r="B36" t="s">
        <v>280</v>
      </c>
      <c r="C36" t="s">
        <v>242</v>
      </c>
      <c r="D36" s="1" t="str">
        <f>VLOOKUP(Zuweisungen!C36,'DIN V 18599-10'!$A$2:$B$47,2,FALSE)</f>
        <v>8</v>
      </c>
      <c r="E36" t="s">
        <v>53</v>
      </c>
      <c r="F36" t="str">
        <f>VLOOKUP(Zuweisungen!E36,'SIA 2024'!$A$2:$C$46,3,FALSE)</f>
        <v>4.1</v>
      </c>
      <c r="G36" t="str">
        <f>VLOOKUP(B36,[1]data_18599_10_default_avarge!$A$2:$M$112,1,FALSE)</f>
        <v>Volkshochschule</v>
      </c>
      <c r="H36">
        <f>VLOOKUP(B36,[1]data_18599_10_default_avarge!$A$2:$M$112,2,FALSE)</f>
        <v>39</v>
      </c>
      <c r="I36" s="9" t="str">
        <f>VLOOKUP(Zuweisungen!D36,'DIN V 18599-10'!$B$2:$F$47,2,FALSE)</f>
        <v>60</v>
      </c>
      <c r="J36" s="9">
        <f>VLOOKUP(Zuweisungen!F36,'SIA 2024'!$C$2:$G$46,2,FALSE)</f>
        <v>70</v>
      </c>
      <c r="K36" s="9">
        <f>VLOOKUP(B36,[2]usage_profiles!$E$2:$AH$109,29,FALSE)</f>
        <v>59.877789585547291</v>
      </c>
      <c r="L36" s="19" t="str">
        <f>VLOOKUP(Zuweisungen!D36,'DIN V 18599-10'!$B$2:$F$47,3,FALSE)</f>
        <v>2</v>
      </c>
      <c r="M36" s="19" t="str">
        <f>VLOOKUP(Zuweisungen!D36,'DIN V 18599-10'!$B$2:$F$47,4,FALSE)</f>
        <v>4</v>
      </c>
      <c r="N36" s="19" t="str">
        <f>VLOOKUP(Zuweisungen!D36,'DIN V 18599-10'!$B$2:$F$47,5,FALSE)</f>
        <v>6</v>
      </c>
      <c r="O36" s="10">
        <f>VLOOKUP(Zuweisungen!F36,'SIA 2024'!$C$2:$G$46,4,FALSE)</f>
        <v>2</v>
      </c>
      <c r="P36" s="11">
        <f>VLOOKUP(Zuweisungen!F36,'SIA 2024'!$C$2:$G$46,3,FALSE)</f>
        <v>4</v>
      </c>
      <c r="Q36" s="12">
        <f>VLOOKUP(Zuweisungen!F36,'SIA 2024'!$C$2:$G$46,5,FALSE)</f>
        <v>6</v>
      </c>
      <c r="R36" s="22">
        <f>VLOOKUP(B36,[2]usage_profiles!$E$2:$AH$109,30,FALSE)</f>
        <v>21.538216300171666</v>
      </c>
      <c r="S36" s="12">
        <f>VLOOKUP(B36,[2]usage_profiles!$E$2:$AH$109,30,FALSE)</f>
        <v>21.538216300171666</v>
      </c>
      <c r="T36" s="22">
        <f>VLOOKUP(B36,[2]usage_profiles!$E$2:$AH$109,30,FALSE)</f>
        <v>21.538216300171666</v>
      </c>
      <c r="U36">
        <f>VLOOKUP(Zuweisungen!D36,'DIN V 18599-10'!$B$2:$H$47,6,FALSE)</f>
        <v>8</v>
      </c>
      <c r="V36">
        <f>VLOOKUP(Zuweisungen!D36,'DIN V 18599-10'!$B$2:$H$47,7,FALSE)</f>
        <v>15</v>
      </c>
      <c r="W36">
        <f>VLOOKUP(Zuweisungen!F36,'SIA 2024'!$C$2:$I$46,6,FALSE)</f>
        <v>7</v>
      </c>
      <c r="X36">
        <f>VLOOKUP(Zuweisungen!F36,'SIA 2024'!$C$2:$I$46,7,FALSE)</f>
        <v>18</v>
      </c>
      <c r="Y36">
        <f>VLOOKUP(B36,[2]usage_profiles!$E$2:$AH$109,3,FALSE)</f>
        <v>6.4772337120902481</v>
      </c>
      <c r="Z36">
        <f>VLOOKUP(B36,[2]usage_profiles!$E$2:$AH$109,4,FALSE)</f>
        <v>16.846153846153847</v>
      </c>
    </row>
    <row r="37" spans="1:26" x14ac:dyDescent="0.25">
      <c r="A37" t="s">
        <v>245</v>
      </c>
      <c r="B37" t="s">
        <v>281</v>
      </c>
      <c r="C37" t="s">
        <v>242</v>
      </c>
      <c r="D37" s="1" t="str">
        <f>VLOOKUP(Zuweisungen!C37,'DIN V 18599-10'!$A$2:$B$47,2,FALSE)</f>
        <v>8</v>
      </c>
      <c r="E37" t="s">
        <v>53</v>
      </c>
      <c r="F37" t="str">
        <f>VLOOKUP(Zuweisungen!E37,'SIA 2024'!$A$2:$C$46,3,FALSE)</f>
        <v>4.1</v>
      </c>
      <c r="G37" t="str">
        <f>VLOOKUP(B37,[1]data_18599_10_default_avarge!$A$2:$M$112,1,FALSE)</f>
        <v>KiTa</v>
      </c>
      <c r="H37">
        <f>VLOOKUP(B37,[1]data_18599_10_default_avarge!$A$2:$M$112,2,FALSE)</f>
        <v>40</v>
      </c>
      <c r="I37" s="9" t="str">
        <f>VLOOKUP(Zuweisungen!D37,'DIN V 18599-10'!$B$2:$F$47,2,FALSE)</f>
        <v>60</v>
      </c>
      <c r="J37" s="9">
        <f>VLOOKUP(Zuweisungen!F37,'SIA 2024'!$C$2:$G$46,2,FALSE)</f>
        <v>70</v>
      </c>
      <c r="K37" s="9">
        <f>VLOOKUP(B37,[2]usage_profiles!$E$2:$AH$109,29,FALSE)</f>
        <v>54.704535789522808</v>
      </c>
      <c r="L37" s="19" t="str">
        <f>VLOOKUP(Zuweisungen!D37,'DIN V 18599-10'!$B$2:$F$47,3,FALSE)</f>
        <v>2</v>
      </c>
      <c r="M37" s="19" t="str">
        <f>VLOOKUP(Zuweisungen!D37,'DIN V 18599-10'!$B$2:$F$47,4,FALSE)</f>
        <v>4</v>
      </c>
      <c r="N37" s="19" t="str">
        <f>VLOOKUP(Zuweisungen!D37,'DIN V 18599-10'!$B$2:$F$47,5,FALSE)</f>
        <v>6</v>
      </c>
      <c r="O37" s="10">
        <f>VLOOKUP(Zuweisungen!F37,'SIA 2024'!$C$2:$G$46,4,FALSE)</f>
        <v>2</v>
      </c>
      <c r="P37" s="11">
        <f>VLOOKUP(Zuweisungen!F37,'SIA 2024'!$C$2:$G$46,3,FALSE)</f>
        <v>4</v>
      </c>
      <c r="Q37" s="12">
        <f>VLOOKUP(Zuweisungen!F37,'SIA 2024'!$C$2:$G$46,5,FALSE)</f>
        <v>6</v>
      </c>
      <c r="R37" s="22">
        <f>VLOOKUP(B37,[2]usage_profiles!$E$2:$AH$109,30,FALSE)</f>
        <v>36.792352409174924</v>
      </c>
      <c r="S37" s="12">
        <f>VLOOKUP(B37,[2]usage_profiles!$E$2:$AH$109,30,FALSE)</f>
        <v>36.792352409174924</v>
      </c>
      <c r="T37" s="22">
        <f>VLOOKUP(B37,[2]usage_profiles!$E$2:$AH$109,30,FALSE)</f>
        <v>36.792352409174924</v>
      </c>
      <c r="U37">
        <f>VLOOKUP(Zuweisungen!D37,'DIN V 18599-10'!$B$2:$H$47,6,FALSE)</f>
        <v>8</v>
      </c>
      <c r="V37">
        <f>VLOOKUP(Zuweisungen!D37,'DIN V 18599-10'!$B$2:$H$47,7,FALSE)</f>
        <v>15</v>
      </c>
      <c r="W37">
        <f>VLOOKUP(Zuweisungen!F37,'SIA 2024'!$C$2:$I$46,6,FALSE)</f>
        <v>7</v>
      </c>
      <c r="X37">
        <f>VLOOKUP(Zuweisungen!F37,'SIA 2024'!$C$2:$I$46,7,FALSE)</f>
        <v>18</v>
      </c>
      <c r="Y37">
        <f>VLOOKUP(B37,[2]usage_profiles!$E$2:$AH$109,3,FALSE)</f>
        <v>7.5109938260097859</v>
      </c>
      <c r="Z37">
        <f>VLOOKUP(B37,[2]usage_profiles!$E$2:$AH$109,4,FALSE)</f>
        <v>17.059668304646209</v>
      </c>
    </row>
    <row r="38" spans="1:26" x14ac:dyDescent="0.25">
      <c r="A38" t="s">
        <v>245</v>
      </c>
      <c r="B38" t="s">
        <v>282</v>
      </c>
      <c r="C38" t="s">
        <v>242</v>
      </c>
      <c r="D38" s="1" t="str">
        <f>VLOOKUP(Zuweisungen!C38,'DIN V 18599-10'!$A$2:$B$47,2,FALSE)</f>
        <v>8</v>
      </c>
      <c r="E38" t="s">
        <v>53</v>
      </c>
      <c r="F38" t="str">
        <f>VLOOKUP(Zuweisungen!E38,'SIA 2024'!$A$2:$C$46,3,FALSE)</f>
        <v>4.1</v>
      </c>
      <c r="G38" t="str">
        <f>VLOOKUP(B38,[1]data_18599_10_default_avarge!$A$2:$M$112,1,FALSE)</f>
        <v>KiTa mit Küche</v>
      </c>
      <c r="H38">
        <f>VLOOKUP(B38,[1]data_18599_10_default_avarge!$A$2:$M$112,2,FALSE)</f>
        <v>41</v>
      </c>
      <c r="I38" s="9" t="str">
        <f>VLOOKUP(Zuweisungen!D38,'DIN V 18599-10'!$B$2:$F$47,2,FALSE)</f>
        <v>60</v>
      </c>
      <c r="J38" s="9">
        <f>VLOOKUP(Zuweisungen!F38,'SIA 2024'!$C$2:$G$46,2,FALSE)</f>
        <v>70</v>
      </c>
      <c r="K38" s="9">
        <f>VLOOKUP(B38,[2]usage_profiles!$E$2:$AH$109,29,FALSE)</f>
        <v>54.704535789522808</v>
      </c>
      <c r="L38" s="19" t="str">
        <f>VLOOKUP(Zuweisungen!D38,'DIN V 18599-10'!$B$2:$F$47,3,FALSE)</f>
        <v>2</v>
      </c>
      <c r="M38" s="19" t="str">
        <f>VLOOKUP(Zuweisungen!D38,'DIN V 18599-10'!$B$2:$F$47,4,FALSE)</f>
        <v>4</v>
      </c>
      <c r="N38" s="19" t="str">
        <f>VLOOKUP(Zuweisungen!D38,'DIN V 18599-10'!$B$2:$F$47,5,FALSE)</f>
        <v>6</v>
      </c>
      <c r="O38" s="10">
        <f>VLOOKUP(Zuweisungen!F38,'SIA 2024'!$C$2:$G$46,4,FALSE)</f>
        <v>2</v>
      </c>
      <c r="P38" s="11">
        <f>VLOOKUP(Zuweisungen!F38,'SIA 2024'!$C$2:$G$46,3,FALSE)</f>
        <v>4</v>
      </c>
      <c r="Q38" s="12">
        <f>VLOOKUP(Zuweisungen!F38,'SIA 2024'!$C$2:$G$46,5,FALSE)</f>
        <v>6</v>
      </c>
      <c r="R38" s="22">
        <f>VLOOKUP(B38,[2]usage_profiles!$E$2:$AH$109,30,FALSE)</f>
        <v>36.792352409174924</v>
      </c>
      <c r="S38" s="12">
        <f>VLOOKUP(B38,[2]usage_profiles!$E$2:$AH$109,30,FALSE)</f>
        <v>36.792352409174924</v>
      </c>
      <c r="T38" s="22">
        <f>VLOOKUP(B38,[2]usage_profiles!$E$2:$AH$109,30,FALSE)</f>
        <v>36.792352409174924</v>
      </c>
      <c r="U38">
        <f>VLOOKUP(Zuweisungen!D38,'DIN V 18599-10'!$B$2:$H$47,6,FALSE)</f>
        <v>8</v>
      </c>
      <c r="V38">
        <f>VLOOKUP(Zuweisungen!D38,'DIN V 18599-10'!$B$2:$H$47,7,FALSE)</f>
        <v>15</v>
      </c>
      <c r="W38">
        <f>VLOOKUP(Zuweisungen!F38,'SIA 2024'!$C$2:$I$46,6,FALSE)</f>
        <v>7</v>
      </c>
      <c r="X38">
        <f>VLOOKUP(Zuweisungen!F38,'SIA 2024'!$C$2:$I$46,7,FALSE)</f>
        <v>18</v>
      </c>
      <c r="Y38">
        <f>VLOOKUP(B38,[2]usage_profiles!$E$2:$AH$109,3,FALSE)</f>
        <v>7.5109938260097859</v>
      </c>
      <c r="Z38">
        <f>VLOOKUP(B38,[2]usage_profiles!$E$2:$AH$109,4,FALSE)</f>
        <v>17.059668304646209</v>
      </c>
    </row>
    <row r="39" spans="1:26" x14ac:dyDescent="0.25">
      <c r="A39" t="s">
        <v>245</v>
      </c>
      <c r="B39" t="s">
        <v>283</v>
      </c>
      <c r="C39" t="s">
        <v>349</v>
      </c>
      <c r="D39" s="1">
        <f>VLOOKUP(Zuweisungen!C39,'DIN V 18599-10'!$A$2:$B$47,2,FALSE)</f>
        <v>43</v>
      </c>
      <c r="E39" t="s">
        <v>344</v>
      </c>
      <c r="F39" t="str">
        <f>VLOOKUP(Zuweisungen!E39,'SIA 2024'!$A$2:$C$46,3,FALSE)</f>
        <v>1.1</v>
      </c>
      <c r="G39" t="str">
        <f>VLOOKUP(B39,[1]data_18599_10_default_avarge!$A$2:$M$112,1,FALSE)</f>
        <v>Studentenhaus</v>
      </c>
      <c r="H39">
        <f>VLOOKUP(B39,[1]data_18599_10_default_avarge!$A$2:$M$112,2,FALSE)</f>
        <v>42</v>
      </c>
      <c r="I39" s="9">
        <f>VLOOKUP(Zuweisungen!D39,'DIN V 18599-10'!$B$2:$F$47,2,FALSE)</f>
        <v>80</v>
      </c>
      <c r="J39" s="9">
        <f>VLOOKUP(Zuweisungen!F39,'SIA 2024'!$C$2:$G$46,2,FALSE)</f>
        <v>70</v>
      </c>
      <c r="K39" s="9">
        <f>VLOOKUP(B39,[2]usage_profiles!$E$2:$AH$109,29,FALSE)</f>
        <v>65.36905794030487</v>
      </c>
      <c r="L39" s="19" t="str">
        <f>VLOOKUP(Zuweisungen!D39,'DIN V 18599-10'!$B$2:$F$47,3,FALSE)</f>
        <v>4.8</v>
      </c>
      <c r="M39" s="19" t="str">
        <f>VLOOKUP(Zuweisungen!D39,'DIN V 18599-10'!$B$2:$F$47,4,FALSE)</f>
        <v>7.2</v>
      </c>
      <c r="N39" s="19" t="str">
        <f>VLOOKUP(Zuweisungen!D39,'DIN V 18599-10'!$B$2:$F$47,5,FALSE)</f>
        <v>10.8</v>
      </c>
      <c r="O39" s="10">
        <f>VLOOKUP(Zuweisungen!F39,'SIA 2024'!$C$2:$G$46,4,FALSE)</f>
        <v>4</v>
      </c>
      <c r="P39" s="11">
        <f>VLOOKUP(Zuweisungen!F39,'SIA 2024'!$C$2:$G$46,3,FALSE)</f>
        <v>8</v>
      </c>
      <c r="Q39" s="12">
        <f>VLOOKUP(Zuweisungen!F39,'SIA 2024'!$C$2:$G$46,5,FALSE)</f>
        <v>10</v>
      </c>
      <c r="R39" s="22">
        <f>VLOOKUP(B39,[2]usage_profiles!$E$2:$AH$109,30,FALSE)</f>
        <v>60.656898705888324</v>
      </c>
      <c r="S39" s="12">
        <f>VLOOKUP(B39,[2]usage_profiles!$E$2:$AH$109,30,FALSE)</f>
        <v>60.656898705888324</v>
      </c>
      <c r="T39" s="22">
        <f>VLOOKUP(B39,[2]usage_profiles!$E$2:$AH$109,30,FALSE)</f>
        <v>60.656898705888324</v>
      </c>
      <c r="U39">
        <f>VLOOKUP(Zuweisungen!D39,'DIN V 18599-10'!$B$2:$H$47,6,FALSE)</f>
        <v>0</v>
      </c>
      <c r="V39">
        <f>VLOOKUP(Zuweisungen!D39,'DIN V 18599-10'!$B$2:$H$47,7,FALSE)</f>
        <v>24</v>
      </c>
      <c r="W39">
        <f>VLOOKUP(Zuweisungen!F39,'SIA 2024'!$C$2:$I$46,6,FALSE)</f>
        <v>0</v>
      </c>
      <c r="X39">
        <f>VLOOKUP(Zuweisungen!F39,'SIA 2024'!$C$2:$I$46,7,FALSE)</f>
        <v>24</v>
      </c>
      <c r="Y39">
        <f>VLOOKUP(B39,[2]usage_profiles!$E$2:$AH$109,3,FALSE)</f>
        <v>2.0849447580562068</v>
      </c>
      <c r="Z39">
        <f>VLOOKUP(B39,[2]usage_profiles!$E$2:$AH$109,4,FALSE)</f>
        <v>13.622961187204432</v>
      </c>
    </row>
    <row r="40" spans="1:26" x14ac:dyDescent="0.25">
      <c r="A40" t="s">
        <v>245</v>
      </c>
      <c r="B40" t="s">
        <v>284</v>
      </c>
      <c r="C40" t="s">
        <v>106</v>
      </c>
      <c r="D40" s="1" t="str">
        <f>VLOOKUP(Zuweisungen!C40,'DIN V 18599-10'!$A$2:$B$47,2,FALSE)</f>
        <v>10</v>
      </c>
      <c r="E40" t="s">
        <v>2</v>
      </c>
      <c r="F40" t="str">
        <f>VLOOKUP(Zuweisungen!E40,'SIA 2024'!$A$2:$C$46,3,FALSE)</f>
        <v>8.1</v>
      </c>
      <c r="G40" t="str">
        <f>VLOOKUP(B40,[1]data_18599_10_default_avarge!$A$2:$M$112,1,FALSE)</f>
        <v>Altentagesstätte</v>
      </c>
      <c r="H40">
        <f>VLOOKUP(B40,[1]data_18599_10_default_avarge!$A$2:$M$112,2,FALSE)</f>
        <v>43</v>
      </c>
      <c r="I40" s="9">
        <f>VLOOKUP(Zuweisungen!D40,'DIN V 18599-10'!$B$2:$F$47,2,FALSE)</f>
        <v>70</v>
      </c>
      <c r="J40" s="9">
        <f>VLOOKUP(Zuweisungen!F40,'SIA 2024'!$C$2:$G$46,2,FALSE)</f>
        <v>70</v>
      </c>
      <c r="K40" s="9">
        <f>VLOOKUP(B40,[2]usage_profiles!$E$2:$AH$109,29,FALSE)</f>
        <v>69.499194782188582</v>
      </c>
      <c r="L40" s="19" t="str">
        <f>VLOOKUP(Zuweisungen!D40,'DIN V 18599-10'!$B$2:$F$47,3,FALSE)</f>
        <v>2</v>
      </c>
      <c r="M40" s="19" t="str">
        <f>VLOOKUP(Zuweisungen!D40,'DIN V 18599-10'!$B$2:$F$47,4,FALSE)</f>
        <v>4</v>
      </c>
      <c r="N40" s="19" t="str">
        <f>VLOOKUP(Zuweisungen!D40,'DIN V 18599-10'!$B$2:$F$47,5,FALSE)</f>
        <v>6</v>
      </c>
      <c r="O40" s="10">
        <f>VLOOKUP(Zuweisungen!F40,'SIA 2024'!$C$2:$G$46,4,FALSE)</f>
        <v>2</v>
      </c>
      <c r="P40" s="11">
        <f>VLOOKUP(Zuweisungen!F40,'SIA 2024'!$C$2:$G$46,3,FALSE)</f>
        <v>4</v>
      </c>
      <c r="Q40" s="12">
        <f>VLOOKUP(Zuweisungen!F40,'SIA 2024'!$C$2:$G$46,5,FALSE)</f>
        <v>6</v>
      </c>
      <c r="R40" s="22">
        <f>VLOOKUP(B40,[2]usage_profiles!$E$2:$AH$109,30,FALSE)</f>
        <v>55.925235526209839</v>
      </c>
      <c r="S40" s="12">
        <f>VLOOKUP(B40,[2]usage_profiles!$E$2:$AH$109,30,FALSE)</f>
        <v>55.925235526209839</v>
      </c>
      <c r="T40" s="22">
        <f>VLOOKUP(B40,[2]usage_profiles!$E$2:$AH$109,30,FALSE)</f>
        <v>55.925235526209839</v>
      </c>
      <c r="U40">
        <f>VLOOKUP(Zuweisungen!D40,'DIN V 18599-10'!$B$2:$H$47,6,FALSE)</f>
        <v>0</v>
      </c>
      <c r="V40">
        <f>VLOOKUP(Zuweisungen!D40,'DIN V 18599-10'!$B$2:$H$47,7,FALSE)</f>
        <v>24</v>
      </c>
      <c r="W40">
        <f>VLOOKUP(Zuweisungen!F40,'SIA 2024'!$C$2:$I$46,6,FALSE)</f>
        <v>0</v>
      </c>
      <c r="X40">
        <f>VLOOKUP(Zuweisungen!F40,'SIA 2024'!$C$2:$I$46,7,FALSE)</f>
        <v>24</v>
      </c>
      <c r="Y40">
        <f>VLOOKUP(B40,[2]usage_profiles!$E$2:$AH$109,3,FALSE)</f>
        <v>8.3362992189387235</v>
      </c>
      <c r="Z40">
        <f>VLOOKUP(B40,[2]usage_profiles!$E$2:$AH$109,4,FALSE)</f>
        <v>18.938139141637812</v>
      </c>
    </row>
    <row r="41" spans="1:26" x14ac:dyDescent="0.25">
      <c r="A41" t="s">
        <v>245</v>
      </c>
      <c r="B41" t="s">
        <v>285</v>
      </c>
      <c r="C41" t="s">
        <v>96</v>
      </c>
      <c r="D41" s="1" t="str">
        <f>VLOOKUP(Zuweisungen!C41,'DIN V 18599-10'!$A$2:$B$47,2,FALSE)</f>
        <v>4</v>
      </c>
      <c r="E41" t="s">
        <v>213</v>
      </c>
      <c r="F41" t="str">
        <f>VLOOKUP(Zuweisungen!E41,'SIA 2024'!$A$2:$C$46,3,FALSE)</f>
        <v>3.3</v>
      </c>
      <c r="G41" t="str">
        <f>VLOOKUP(B41,[1]data_18599_10_default_avarge!$A$2:$M$112,1,FALSE)</f>
        <v>Jugendzentrum</v>
      </c>
      <c r="H41">
        <f>VLOOKUP(B41,[1]data_18599_10_default_avarge!$A$2:$M$112,2,FALSE)</f>
        <v>44</v>
      </c>
      <c r="I41" s="9">
        <f>VLOOKUP(Zuweisungen!D41,'DIN V 18599-10'!$B$2:$F$47,2,FALSE)</f>
        <v>70</v>
      </c>
      <c r="J41" s="9">
        <f>VLOOKUP(Zuweisungen!F41,'SIA 2024'!$C$2:$G$46,2,FALSE)</f>
        <v>70</v>
      </c>
      <c r="K41" s="9">
        <f>VLOOKUP(B41,[2]usage_profiles!$E$2:$AH$109,29,FALSE)</f>
        <v>69.499194782188582</v>
      </c>
      <c r="L41" s="19" t="str">
        <f>VLOOKUP(Zuweisungen!D41,'DIN V 18599-10'!$B$2:$F$47,3,FALSE)</f>
        <v>1</v>
      </c>
      <c r="M41" s="19" t="str">
        <f>VLOOKUP(Zuweisungen!D41,'DIN V 18599-10'!$B$2:$F$47,4,FALSE)</f>
        <v>2</v>
      </c>
      <c r="N41" s="19" t="str">
        <f>VLOOKUP(Zuweisungen!D41,'DIN V 18599-10'!$B$2:$F$47,5,FALSE)</f>
        <v>3</v>
      </c>
      <c r="O41" s="10">
        <f>VLOOKUP(Zuweisungen!F41,'SIA 2024'!$C$2:$G$46,4,FALSE)</f>
        <v>1</v>
      </c>
      <c r="P41" s="11">
        <f>VLOOKUP(Zuweisungen!F41,'SIA 2024'!$C$2:$G$46,3,FALSE)</f>
        <v>2</v>
      </c>
      <c r="Q41" s="12">
        <f>VLOOKUP(Zuweisungen!F41,'SIA 2024'!$C$2:$G$46,5,FALSE)</f>
        <v>3</v>
      </c>
      <c r="R41" s="22">
        <f>VLOOKUP(B41,[2]usage_profiles!$E$2:$AH$109,30,FALSE)</f>
        <v>55.925235526209839</v>
      </c>
      <c r="S41" s="12">
        <f>VLOOKUP(B41,[2]usage_profiles!$E$2:$AH$109,30,FALSE)</f>
        <v>55.925235526209839</v>
      </c>
      <c r="T41" s="22">
        <f>VLOOKUP(B41,[2]usage_profiles!$E$2:$AH$109,30,FALSE)</f>
        <v>55.925235526209839</v>
      </c>
      <c r="U41">
        <f>VLOOKUP(Zuweisungen!D41,'DIN V 18599-10'!$B$2:$H$47,6,FALSE)</f>
        <v>7</v>
      </c>
      <c r="V41">
        <f>VLOOKUP(Zuweisungen!D41,'DIN V 18599-10'!$B$2:$H$47,7,FALSE)</f>
        <v>18</v>
      </c>
      <c r="W41">
        <f>VLOOKUP(Zuweisungen!F41,'SIA 2024'!$C$2:$I$46,6,FALSE)</f>
        <v>9</v>
      </c>
      <c r="X41">
        <f>VLOOKUP(Zuweisungen!F41,'SIA 2024'!$C$2:$I$46,7,FALSE)</f>
        <v>17</v>
      </c>
      <c r="Y41">
        <f>VLOOKUP(B41,[2]usage_profiles!$E$2:$AH$109,3,FALSE)</f>
        <v>8.3362992189387235</v>
      </c>
      <c r="Z41">
        <f>VLOOKUP(B41,[2]usage_profiles!$E$2:$AH$109,4,FALSE)</f>
        <v>18.938139141637812</v>
      </c>
    </row>
    <row r="42" spans="1:26" x14ac:dyDescent="0.25">
      <c r="A42" t="s">
        <v>8</v>
      </c>
      <c r="B42" t="s">
        <v>286</v>
      </c>
      <c r="C42" t="s">
        <v>144</v>
      </c>
      <c r="D42" s="1" t="str">
        <f>VLOOKUP(Zuweisungen!C42,'DIN V 18599-10'!$A$2:$B$47,2,FALSE)</f>
        <v>29</v>
      </c>
      <c r="E42" t="s">
        <v>56</v>
      </c>
      <c r="F42" t="str">
        <f>VLOOKUP(Zuweisungen!E42,'SIA 2024'!$A$2:$C$46,3,FALSE)</f>
        <v>4.3</v>
      </c>
      <c r="G42" t="str">
        <f>VLOOKUP(B42,[1]data_18599_10_default_avarge!$A$2:$M$112,1,FALSE)</f>
        <v>Bibliothek/Archiv (einfach, z.B. Stadtbücherei)</v>
      </c>
      <c r="H42">
        <f>VLOOKUP(B42,[1]data_18599_10_default_avarge!$A$2:$M$112,2,FALSE)</f>
        <v>46</v>
      </c>
      <c r="I42" s="9" t="str">
        <f>VLOOKUP(Zuweisungen!D42,'DIN V 18599-10'!$B$2:$F$47,2,FALSE)</f>
        <v>70</v>
      </c>
      <c r="J42" s="9">
        <f>VLOOKUP(Zuweisungen!F42,'SIA 2024'!$C$2:$G$46,2,FALSE)</f>
        <v>70</v>
      </c>
      <c r="K42" s="9">
        <f>VLOOKUP(B42,[2]usage_profiles!$E$2:$AH$109,29,FALSE)</f>
        <v>50.360787524656665</v>
      </c>
      <c r="L42" s="19" t="str">
        <f>VLOOKUP(Zuweisungen!D42,'DIN V 18599-10'!$B$2:$F$47,3,FALSE)</f>
        <v>0</v>
      </c>
      <c r="M42" s="19" t="str">
        <f>VLOOKUP(Zuweisungen!D42,'DIN V 18599-10'!$B$2:$F$47,4,FALSE)</f>
        <v>0</v>
      </c>
      <c r="N42" s="19" t="str">
        <f>VLOOKUP(Zuweisungen!D42,'DIN V 18599-10'!$B$2:$F$47,5,FALSE)</f>
        <v>0</v>
      </c>
      <c r="O42" s="10">
        <f>VLOOKUP(Zuweisungen!F42,'SIA 2024'!$C$2:$G$46,4,FALSE)</f>
        <v>1</v>
      </c>
      <c r="P42" s="11">
        <f>VLOOKUP(Zuweisungen!F42,'SIA 2024'!$C$2:$G$46,3,FALSE)</f>
        <v>2</v>
      </c>
      <c r="Q42" s="12">
        <f>VLOOKUP(Zuweisungen!F42,'SIA 2024'!$C$2:$G$46,5,FALSE)</f>
        <v>3</v>
      </c>
      <c r="R42" s="22">
        <f>VLOOKUP(B42,[2]usage_profiles!$E$2:$AH$109,30,FALSE)</f>
        <v>9.6012877293535279</v>
      </c>
      <c r="S42" s="12">
        <f>VLOOKUP(B42,[2]usage_profiles!$E$2:$AH$109,30,FALSE)</f>
        <v>9.6012877293535279</v>
      </c>
      <c r="T42" s="22">
        <f>VLOOKUP(B42,[2]usage_profiles!$E$2:$AH$109,30,FALSE)</f>
        <v>9.6012877293535279</v>
      </c>
      <c r="U42">
        <f>VLOOKUP(Zuweisungen!D42,'DIN V 18599-10'!$B$2:$H$47,6,FALSE)</f>
        <v>8</v>
      </c>
      <c r="V42">
        <f>VLOOKUP(Zuweisungen!D42,'DIN V 18599-10'!$B$2:$H$47,7,FALSE)</f>
        <v>20</v>
      </c>
      <c r="W42">
        <f>VLOOKUP(Zuweisungen!F42,'SIA 2024'!$C$2:$I$46,6,FALSE)</f>
        <v>7</v>
      </c>
      <c r="X42">
        <f>VLOOKUP(Zuweisungen!F42,'SIA 2024'!$C$2:$I$46,7,FALSE)</f>
        <v>18</v>
      </c>
      <c r="Y42">
        <f>VLOOKUP(B42,[2]usage_profiles!$E$2:$AH$109,3,FALSE)</f>
        <v>7.4964085005024357</v>
      </c>
      <c r="Z42">
        <f>VLOOKUP(B42,[2]usage_profiles!$E$2:$AH$109,4,FALSE)</f>
        <v>18.848673192154525</v>
      </c>
    </row>
    <row r="43" spans="1:26" x14ac:dyDescent="0.25">
      <c r="A43" t="s">
        <v>8</v>
      </c>
      <c r="B43" t="s">
        <v>287</v>
      </c>
      <c r="C43" t="s">
        <v>143</v>
      </c>
      <c r="D43" s="1" t="str">
        <f>VLOOKUP(Zuweisungen!C43,'DIN V 18599-10'!$A$2:$B$47,2,FALSE)</f>
        <v>28</v>
      </c>
      <c r="E43" t="s">
        <v>56</v>
      </c>
      <c r="F43" t="str">
        <f>VLOOKUP(Zuweisungen!E43,'SIA 2024'!$A$2:$C$46,3,FALSE)</f>
        <v>4.3</v>
      </c>
      <c r="G43" t="str">
        <f>VLOOKUP(B43,[1]data_18599_10_default_avarge!$A$2:$M$112,1,FALSE)</f>
        <v>Bibliothek/Archiv (höher technisiert, z.B. Unibibliothek)</v>
      </c>
      <c r="H43">
        <f>VLOOKUP(B43,[1]data_18599_10_default_avarge!$A$2:$M$112,2,FALSE)</f>
        <v>47</v>
      </c>
      <c r="I43" s="9" t="str">
        <f>VLOOKUP(Zuweisungen!D43,'DIN V 18599-10'!$B$2:$F$47,2,FALSE)</f>
        <v>70</v>
      </c>
      <c r="J43" s="9">
        <f>VLOOKUP(Zuweisungen!F43,'SIA 2024'!$C$2:$G$46,2,FALSE)</f>
        <v>70</v>
      </c>
      <c r="K43" s="9">
        <f>VLOOKUP(B43,[2]usage_profiles!$E$2:$AH$109,29,FALSE)</f>
        <v>50.360787524656665</v>
      </c>
      <c r="L43" s="19" t="str">
        <f>VLOOKUP(Zuweisungen!D43,'DIN V 18599-10'!$B$2:$F$47,3,FALSE)</f>
        <v>0</v>
      </c>
      <c r="M43" s="19" t="str">
        <f>VLOOKUP(Zuweisungen!D43,'DIN V 18599-10'!$B$2:$F$47,4,FALSE)</f>
        <v>0</v>
      </c>
      <c r="N43" s="19" t="str">
        <f>VLOOKUP(Zuweisungen!D43,'DIN V 18599-10'!$B$2:$F$47,5,FALSE)</f>
        <v>0</v>
      </c>
      <c r="O43" s="10">
        <f>VLOOKUP(Zuweisungen!F43,'SIA 2024'!$C$2:$G$46,4,FALSE)</f>
        <v>1</v>
      </c>
      <c r="P43" s="11">
        <f>VLOOKUP(Zuweisungen!F43,'SIA 2024'!$C$2:$G$46,3,FALSE)</f>
        <v>2</v>
      </c>
      <c r="Q43" s="12">
        <f>VLOOKUP(Zuweisungen!F43,'SIA 2024'!$C$2:$G$46,5,FALSE)</f>
        <v>3</v>
      </c>
      <c r="R43" s="22">
        <f>VLOOKUP(B43,[2]usage_profiles!$E$2:$AH$109,30,FALSE)</f>
        <v>9.6012877293535279</v>
      </c>
      <c r="S43" s="12">
        <f>VLOOKUP(B43,[2]usage_profiles!$E$2:$AH$109,30,FALSE)</f>
        <v>9.6012877293535279</v>
      </c>
      <c r="T43" s="22">
        <f>VLOOKUP(B43,[2]usage_profiles!$E$2:$AH$109,30,FALSE)</f>
        <v>9.6012877293535279</v>
      </c>
      <c r="U43">
        <f>VLOOKUP(Zuweisungen!D43,'DIN V 18599-10'!$B$2:$H$47,6,FALSE)</f>
        <v>8</v>
      </c>
      <c r="V43">
        <f>VLOOKUP(Zuweisungen!D43,'DIN V 18599-10'!$B$2:$H$47,7,FALSE)</f>
        <v>20</v>
      </c>
      <c r="W43">
        <f>VLOOKUP(Zuweisungen!F43,'SIA 2024'!$C$2:$I$46,6,FALSE)</f>
        <v>7</v>
      </c>
      <c r="X43">
        <f>VLOOKUP(Zuweisungen!F43,'SIA 2024'!$C$2:$I$46,7,FALSE)</f>
        <v>18</v>
      </c>
      <c r="Y43">
        <f>VLOOKUP(B43,[2]usage_profiles!$E$2:$AH$109,3,FALSE)</f>
        <v>7.4964085005024357</v>
      </c>
      <c r="Z43">
        <f>VLOOKUP(B43,[2]usage_profiles!$E$2:$AH$109,4,FALSE)</f>
        <v>18.848673192154525</v>
      </c>
    </row>
    <row r="44" spans="1:26" x14ac:dyDescent="0.25">
      <c r="A44" t="s">
        <v>8</v>
      </c>
      <c r="B44" t="s">
        <v>288</v>
      </c>
      <c r="C44" t="s">
        <v>141</v>
      </c>
      <c r="D44" s="1" t="str">
        <f>VLOOKUP(Zuweisungen!C44,'DIN V 18599-10'!$A$2:$B$47,2,FALSE)</f>
        <v>27</v>
      </c>
      <c r="E44" t="s">
        <v>58</v>
      </c>
      <c r="F44" t="str">
        <f>VLOOKUP(Zuweisungen!E44,'SIA 2024'!$A$2:$C$46,3,FALSE)</f>
        <v>7.3</v>
      </c>
      <c r="G44" t="str">
        <f>VLOOKUP(B44,[1]data_18599_10_default_avarge!$A$2:$M$112,1,FALSE)</f>
        <v>Ausstellungsgebäude (Museen, Galerien)</v>
      </c>
      <c r="H44">
        <f>VLOOKUP(B44,[1]data_18599_10_default_avarge!$A$2:$M$112,2,FALSE)</f>
        <v>48</v>
      </c>
      <c r="I44" s="9" t="str">
        <f>VLOOKUP(Zuweisungen!D44,'DIN V 18599-10'!$B$2:$F$47,2,FALSE)</f>
        <v>70</v>
      </c>
      <c r="J44" s="9">
        <f>VLOOKUP(Zuweisungen!F44,'SIA 2024'!$C$2:$G$46,2,FALSE)</f>
        <v>70</v>
      </c>
      <c r="K44" s="9">
        <f>VLOOKUP(B44,[2]usage_profiles!$E$2:$AH$109,29,FALSE)</f>
        <v>38.444180757440911</v>
      </c>
      <c r="L44" s="19" t="str">
        <f>VLOOKUP(Zuweisungen!D44,'DIN V 18599-10'!$B$2:$F$47,3,FALSE)</f>
        <v>0</v>
      </c>
      <c r="M44" s="19" t="str">
        <f>VLOOKUP(Zuweisungen!D44,'DIN V 18599-10'!$B$2:$F$47,4,FALSE)</f>
        <v>0</v>
      </c>
      <c r="N44" s="19" t="str">
        <f>VLOOKUP(Zuweisungen!D44,'DIN V 18599-10'!$B$2:$F$47,5,FALSE)</f>
        <v>0</v>
      </c>
      <c r="O44" s="10">
        <f>VLOOKUP(Zuweisungen!F44,'SIA 2024'!$C$2:$G$46,4,FALSE)</f>
        <v>3</v>
      </c>
      <c r="P44" s="11">
        <f>VLOOKUP(Zuweisungen!F44,'SIA 2024'!$C$2:$G$46,3,FALSE)</f>
        <v>7</v>
      </c>
      <c r="Q44" s="12">
        <f>VLOOKUP(Zuweisungen!F44,'SIA 2024'!$C$2:$G$46,5,FALSE)</f>
        <v>15</v>
      </c>
      <c r="R44" s="22">
        <f>VLOOKUP(B44,[2]usage_profiles!$E$2:$AH$109,30,FALSE)</f>
        <v>13.166221694848211</v>
      </c>
      <c r="S44" s="12">
        <f>VLOOKUP(B44,[2]usage_profiles!$E$2:$AH$109,30,FALSE)</f>
        <v>13.166221694848211</v>
      </c>
      <c r="T44" s="22">
        <f>VLOOKUP(B44,[2]usage_profiles!$E$2:$AH$109,30,FALSE)</f>
        <v>13.166221694848211</v>
      </c>
      <c r="U44">
        <f>VLOOKUP(Zuweisungen!D44,'DIN V 18599-10'!$B$2:$H$47,6,FALSE)</f>
        <v>10</v>
      </c>
      <c r="V44">
        <f>VLOOKUP(Zuweisungen!D44,'DIN V 18599-10'!$B$2:$H$47,7,FALSE)</f>
        <v>18</v>
      </c>
      <c r="W44">
        <f>VLOOKUP(Zuweisungen!F44,'SIA 2024'!$C$2:$I$46,6,FALSE)</f>
        <v>7</v>
      </c>
      <c r="X44">
        <f>VLOOKUP(Zuweisungen!F44,'SIA 2024'!$C$2:$I$46,7,FALSE)</f>
        <v>23</v>
      </c>
      <c r="Y44">
        <f>VLOOKUP(B44,[2]usage_profiles!$E$2:$AH$109,3,FALSE)</f>
        <v>8.6001186591515868</v>
      </c>
      <c r="Z44">
        <f>VLOOKUP(B44,[2]usage_profiles!$E$2:$AH$109,4,FALSE)</f>
        <v>18.419262335607627</v>
      </c>
    </row>
    <row r="45" spans="1:26" x14ac:dyDescent="0.25">
      <c r="A45" t="s">
        <v>8</v>
      </c>
      <c r="B45" t="s">
        <v>289</v>
      </c>
      <c r="C45" t="s">
        <v>189</v>
      </c>
      <c r="D45" s="1" t="str">
        <f>VLOOKUP(Zuweisungen!C45,'DIN V 18599-10'!$A$2:$B$47,2,FALSE)</f>
        <v>25</v>
      </c>
      <c r="E45" t="s">
        <v>60</v>
      </c>
      <c r="F45" t="str">
        <f>VLOOKUP(Zuweisungen!E45,'SIA 2024'!$A$2:$C$46,3,FALSE)</f>
        <v>7.1</v>
      </c>
      <c r="G45" t="str">
        <f>VLOOKUP(B45,[1]data_18599_10_default_avarge!$A$2:$M$112,1,FALSE)</f>
        <v>Oper, Theater und Veranstaltungshalle, Kino, Konferenzzentrum</v>
      </c>
      <c r="H45">
        <f>VLOOKUP(B45,[1]data_18599_10_default_avarge!$A$2:$M$112,2,FALSE)</f>
        <v>49</v>
      </c>
      <c r="I45" s="9" t="str">
        <f>VLOOKUP(Zuweisungen!D45,'DIN V 18599-10'!$B$2:$F$47,2,FALSE)</f>
        <v>70</v>
      </c>
      <c r="J45" s="9">
        <f>VLOOKUP(Zuweisungen!F45,'SIA 2024'!$C$2:$G$46,2,FALSE)</f>
        <v>70</v>
      </c>
      <c r="K45" s="9">
        <f>VLOOKUP(B45,[2]usage_profiles!$E$2:$AH$109,29,FALSE)</f>
        <v>61.084278055442695</v>
      </c>
      <c r="L45" s="19" t="str">
        <f>VLOOKUP(Zuweisungen!D45,'DIN V 18599-10'!$B$2:$F$47,3,FALSE)</f>
        <v>0</v>
      </c>
      <c r="M45" s="19" t="str">
        <f>VLOOKUP(Zuweisungen!D45,'DIN V 18599-10'!$B$2:$F$47,4,FALSE)</f>
        <v>0</v>
      </c>
      <c r="N45" s="19" t="str">
        <f>VLOOKUP(Zuweisungen!D45,'DIN V 18599-10'!$B$2:$F$47,5,FALSE)</f>
        <v>0</v>
      </c>
      <c r="O45" s="10">
        <f>VLOOKUP(Zuweisungen!F45,'SIA 2024'!$C$2:$G$46,4,FALSE)</f>
        <v>1</v>
      </c>
      <c r="P45" s="11">
        <f>VLOOKUP(Zuweisungen!F45,'SIA 2024'!$C$2:$G$46,3,FALSE)</f>
        <v>2</v>
      </c>
      <c r="Q45" s="12">
        <f>VLOOKUP(Zuweisungen!F45,'SIA 2024'!$C$2:$G$46,5,FALSE)</f>
        <v>3</v>
      </c>
      <c r="R45" s="22">
        <f>VLOOKUP(B45,[2]usage_profiles!$E$2:$AH$109,30,FALSE)</f>
        <v>36.422250018288409</v>
      </c>
      <c r="S45" s="12">
        <f>VLOOKUP(B45,[2]usage_profiles!$E$2:$AH$109,30,FALSE)</f>
        <v>36.422250018288409</v>
      </c>
      <c r="T45" s="22">
        <f>VLOOKUP(B45,[2]usage_profiles!$E$2:$AH$109,30,FALSE)</f>
        <v>36.422250018288409</v>
      </c>
      <c r="U45">
        <f>VLOOKUP(Zuweisungen!D45,'DIN V 18599-10'!$B$2:$H$47,6,FALSE)</f>
        <v>13</v>
      </c>
      <c r="V45">
        <f>VLOOKUP(Zuweisungen!D45,'DIN V 18599-10'!$B$2:$H$47,7,FALSE)</f>
        <v>23</v>
      </c>
      <c r="W45">
        <f>VLOOKUP(Zuweisungen!F45,'SIA 2024'!$C$2:$I$46,6,FALSE)</f>
        <v>12</v>
      </c>
      <c r="X45">
        <f>VLOOKUP(Zuweisungen!F45,'SIA 2024'!$C$2:$I$46,7,FALSE)</f>
        <v>24</v>
      </c>
      <c r="Y45">
        <f>VLOOKUP(B45,[2]usage_profiles!$E$2:$AH$109,3,FALSE)</f>
        <v>9.4042983005542933</v>
      </c>
      <c r="Z45">
        <f>VLOOKUP(B45,[2]usage_profiles!$E$2:$AH$109,4,FALSE)</f>
        <v>19.33923644253597</v>
      </c>
    </row>
    <row r="46" spans="1:26" x14ac:dyDescent="0.25">
      <c r="A46" t="s">
        <v>8</v>
      </c>
      <c r="B46" t="s">
        <v>9</v>
      </c>
      <c r="C46" t="s">
        <v>96</v>
      </c>
      <c r="D46" s="1" t="str">
        <f>VLOOKUP(Zuweisungen!C46,'DIN V 18599-10'!$A$2:$B$47,2,FALSE)</f>
        <v>4</v>
      </c>
      <c r="E46" t="s">
        <v>213</v>
      </c>
      <c r="F46" t="str">
        <f>VLOOKUP(Zuweisungen!E46,'SIA 2024'!$A$2:$C$46,3,FALSE)</f>
        <v>3.3</v>
      </c>
      <c r="G46" t="str">
        <f>VLOOKUP(B46,[1]data_18599_10_default_avarge!$A$2:$M$112,1,FALSE)</f>
        <v>Freizeit-, Gemeinschafts-, Bürgerhaus</v>
      </c>
      <c r="H46">
        <f>VLOOKUP(B46,[1]data_18599_10_default_avarge!$A$2:$M$112,2,FALSE)</f>
        <v>50</v>
      </c>
      <c r="I46" s="9">
        <f>VLOOKUP(Zuweisungen!D46,'DIN V 18599-10'!$B$2:$F$47,2,FALSE)</f>
        <v>70</v>
      </c>
      <c r="J46" s="9">
        <f>VLOOKUP(Zuweisungen!F46,'SIA 2024'!$C$2:$G$46,2,FALSE)</f>
        <v>70</v>
      </c>
      <c r="K46" s="9">
        <f>VLOOKUP(B46,[2]usage_profiles!$E$2:$AH$109,29,FALSE)</f>
        <v>69.499194782188582</v>
      </c>
      <c r="L46" s="19" t="str">
        <f>VLOOKUP(Zuweisungen!D46,'DIN V 18599-10'!$B$2:$F$47,3,FALSE)</f>
        <v>1</v>
      </c>
      <c r="M46" s="19" t="str">
        <f>VLOOKUP(Zuweisungen!D46,'DIN V 18599-10'!$B$2:$F$47,4,FALSE)</f>
        <v>2</v>
      </c>
      <c r="N46" s="19" t="str">
        <f>VLOOKUP(Zuweisungen!D46,'DIN V 18599-10'!$B$2:$F$47,5,FALSE)</f>
        <v>3</v>
      </c>
      <c r="O46" s="10">
        <f>VLOOKUP(Zuweisungen!F46,'SIA 2024'!$C$2:$G$46,4,FALSE)</f>
        <v>1</v>
      </c>
      <c r="P46" s="11">
        <f>VLOOKUP(Zuweisungen!F46,'SIA 2024'!$C$2:$G$46,3,FALSE)</f>
        <v>2</v>
      </c>
      <c r="Q46" s="12">
        <f>VLOOKUP(Zuweisungen!F46,'SIA 2024'!$C$2:$G$46,5,FALSE)</f>
        <v>3</v>
      </c>
      <c r="R46" s="22">
        <f>VLOOKUP(B46,[2]usage_profiles!$E$2:$AH$109,30,FALSE)</f>
        <v>55.925235526209839</v>
      </c>
      <c r="S46" s="12">
        <f>VLOOKUP(B46,[2]usage_profiles!$E$2:$AH$109,30,FALSE)</f>
        <v>55.925235526209839</v>
      </c>
      <c r="T46" s="22">
        <f>VLOOKUP(B46,[2]usage_profiles!$E$2:$AH$109,30,FALSE)</f>
        <v>55.925235526209839</v>
      </c>
      <c r="U46">
        <f>VLOOKUP(Zuweisungen!D46,'DIN V 18599-10'!$B$2:$H$47,6,FALSE)</f>
        <v>7</v>
      </c>
      <c r="V46">
        <f>VLOOKUP(Zuweisungen!D46,'DIN V 18599-10'!$B$2:$H$47,7,FALSE)</f>
        <v>18</v>
      </c>
      <c r="W46">
        <f>VLOOKUP(Zuweisungen!F46,'SIA 2024'!$C$2:$I$46,6,FALSE)</f>
        <v>9</v>
      </c>
      <c r="X46">
        <f>VLOOKUP(Zuweisungen!F46,'SIA 2024'!$C$2:$I$46,7,FALSE)</f>
        <v>17</v>
      </c>
      <c r="Y46">
        <f>VLOOKUP(B46,[2]usage_profiles!$E$2:$AH$109,3,FALSE)</f>
        <v>8.3362992189387235</v>
      </c>
      <c r="Z46">
        <f>VLOOKUP(B46,[2]usage_profiles!$E$2:$AH$109,4,FALSE)</f>
        <v>18.938139141637812</v>
      </c>
    </row>
    <row r="47" spans="1:26" x14ac:dyDescent="0.25">
      <c r="A47" t="s">
        <v>8</v>
      </c>
      <c r="B47" t="s">
        <v>10</v>
      </c>
      <c r="C47" t="s">
        <v>96</v>
      </c>
      <c r="D47" s="1" t="str">
        <f>VLOOKUP(Zuweisungen!C47,'DIN V 18599-10'!$A$2:$B$47,2,FALSE)</f>
        <v>4</v>
      </c>
      <c r="E47" t="s">
        <v>58</v>
      </c>
      <c r="F47" t="str">
        <f>VLOOKUP(Zuweisungen!E47,'SIA 2024'!$A$2:$C$46,3,FALSE)</f>
        <v>7.3</v>
      </c>
      <c r="G47" t="str">
        <f>VLOOKUP(B47,[1]data_18599_10_default_avarge!$A$2:$M$112,1,FALSE)</f>
        <v>Spielkasino, -bank, -halle</v>
      </c>
      <c r="H47">
        <f>VLOOKUP(B47,[1]data_18599_10_default_avarge!$A$2:$M$112,2,FALSE)</f>
        <v>51</v>
      </c>
      <c r="I47" s="9">
        <f>VLOOKUP(Zuweisungen!D47,'DIN V 18599-10'!$B$2:$F$47,2,FALSE)</f>
        <v>70</v>
      </c>
      <c r="J47" s="9">
        <f>VLOOKUP(Zuweisungen!F47,'SIA 2024'!$C$2:$G$46,2,FALSE)</f>
        <v>70</v>
      </c>
      <c r="K47" s="9">
        <f>VLOOKUP(B47,[2]usage_profiles!$E$2:$AH$109,29,FALSE)</f>
        <v>69.499194782188582</v>
      </c>
      <c r="L47" s="19" t="str">
        <f>VLOOKUP(Zuweisungen!D47,'DIN V 18599-10'!$B$2:$F$47,3,FALSE)</f>
        <v>1</v>
      </c>
      <c r="M47" s="19" t="str">
        <f>VLOOKUP(Zuweisungen!D47,'DIN V 18599-10'!$B$2:$F$47,4,FALSE)</f>
        <v>2</v>
      </c>
      <c r="N47" s="19" t="str">
        <f>VLOOKUP(Zuweisungen!D47,'DIN V 18599-10'!$B$2:$F$47,5,FALSE)</f>
        <v>3</v>
      </c>
      <c r="O47" s="10">
        <f>VLOOKUP(Zuweisungen!F47,'SIA 2024'!$C$2:$G$46,4,FALSE)</f>
        <v>3</v>
      </c>
      <c r="P47" s="11">
        <f>VLOOKUP(Zuweisungen!F47,'SIA 2024'!$C$2:$G$46,3,FALSE)</f>
        <v>7</v>
      </c>
      <c r="Q47" s="12">
        <f>VLOOKUP(Zuweisungen!F47,'SIA 2024'!$C$2:$G$46,5,FALSE)</f>
        <v>15</v>
      </c>
      <c r="R47" s="22">
        <f>VLOOKUP(B47,[2]usage_profiles!$E$2:$AH$109,30,FALSE)</f>
        <v>55.925235526209839</v>
      </c>
      <c r="S47" s="12">
        <f>VLOOKUP(B47,[2]usage_profiles!$E$2:$AH$109,30,FALSE)</f>
        <v>55.925235526209839</v>
      </c>
      <c r="T47" s="22">
        <f>VLOOKUP(B47,[2]usage_profiles!$E$2:$AH$109,30,FALSE)</f>
        <v>55.925235526209839</v>
      </c>
      <c r="U47">
        <f>VLOOKUP(Zuweisungen!D47,'DIN V 18599-10'!$B$2:$H$47,6,FALSE)</f>
        <v>7</v>
      </c>
      <c r="V47">
        <f>VLOOKUP(Zuweisungen!D47,'DIN V 18599-10'!$B$2:$H$47,7,FALSE)</f>
        <v>18</v>
      </c>
      <c r="W47">
        <f>VLOOKUP(Zuweisungen!F47,'SIA 2024'!$C$2:$I$46,6,FALSE)</f>
        <v>7</v>
      </c>
      <c r="X47">
        <f>VLOOKUP(Zuweisungen!F47,'SIA 2024'!$C$2:$I$46,7,FALSE)</f>
        <v>23</v>
      </c>
      <c r="Y47">
        <f>VLOOKUP(B47,[2]usage_profiles!$E$2:$AH$109,3,FALSE)</f>
        <v>8.3362992189387235</v>
      </c>
      <c r="Z47">
        <f>VLOOKUP(B47,[2]usage_profiles!$E$2:$AH$109,4,FALSE)</f>
        <v>18.938139141637812</v>
      </c>
    </row>
    <row r="48" spans="1:26" x14ac:dyDescent="0.25">
      <c r="A48" t="s">
        <v>11</v>
      </c>
      <c r="B48" t="s">
        <v>290</v>
      </c>
      <c r="C48" t="s">
        <v>146</v>
      </c>
      <c r="D48" s="1" t="str">
        <f>VLOOKUP(Zuweisungen!C48,'DIN V 18599-10'!$A$2:$B$47,2,FALSE)</f>
        <v>31</v>
      </c>
      <c r="E48" t="s">
        <v>63</v>
      </c>
      <c r="F48" t="str">
        <f>VLOOKUP(Zuweisungen!E48,'SIA 2024'!$A$2:$C$46,3,FALSE)</f>
        <v>11.1</v>
      </c>
      <c r="G48" t="str">
        <f>VLOOKUP(B48,[1]data_18599_10_default_avarge!$A$2:$M$112,1,FALSE)</f>
        <v>Einfeldhalle</v>
      </c>
      <c r="H48">
        <f>VLOOKUP(B48,[1]data_18599_10_default_avarge!$A$2:$M$112,2,FALSE)</f>
        <v>53</v>
      </c>
      <c r="I48" s="9" t="str">
        <f>VLOOKUP(Zuweisungen!D48,'DIN V 18599-10'!$B$2:$F$47,2,FALSE)</f>
        <v>125</v>
      </c>
      <c r="J48" s="9">
        <f>VLOOKUP(Zuweisungen!F48,'SIA 2024'!$C$2:$G$46,2,FALSE)</f>
        <v>120</v>
      </c>
      <c r="K48" s="9">
        <f>VLOOKUP(B48,[2]usage_profiles!$E$2:$AH$109,29,FALSE)</f>
        <v>45.008905979159607</v>
      </c>
      <c r="L48" s="19" t="str">
        <f>VLOOKUP(Zuweisungen!D48,'DIN V 18599-10'!$B$2:$F$47,3,FALSE)</f>
        <v>0</v>
      </c>
      <c r="M48" s="19" t="str">
        <f>VLOOKUP(Zuweisungen!D48,'DIN V 18599-10'!$B$2:$F$47,4,FALSE)</f>
        <v>0</v>
      </c>
      <c r="N48" s="19" t="str">
        <f>VLOOKUP(Zuweisungen!D48,'DIN V 18599-10'!$B$2:$F$47,5,FALSE)</f>
        <v>0</v>
      </c>
      <c r="O48" s="10">
        <f>VLOOKUP(Zuweisungen!F48,'SIA 2024'!$C$2:$G$46,4,FALSE)</f>
        <v>0</v>
      </c>
      <c r="P48" s="11">
        <f>VLOOKUP(Zuweisungen!F48,'SIA 2024'!$C$2:$G$46,3,FALSE)</f>
        <v>0</v>
      </c>
      <c r="Q48" s="12">
        <f>VLOOKUP(Zuweisungen!F48,'SIA 2024'!$C$2:$G$46,5,FALSE)</f>
        <v>0</v>
      </c>
      <c r="R48" s="22">
        <f>VLOOKUP(B48,[2]usage_profiles!$E$2:$AH$109,30,FALSE)</f>
        <v>10.869996612938573</v>
      </c>
      <c r="S48" s="12">
        <f>VLOOKUP(B48,[2]usage_profiles!$E$2:$AH$109,30,FALSE)</f>
        <v>10.869996612938573</v>
      </c>
      <c r="T48" s="22">
        <f>VLOOKUP(B48,[2]usage_profiles!$E$2:$AH$109,30,FALSE)</f>
        <v>10.869996612938573</v>
      </c>
      <c r="U48">
        <f>VLOOKUP(Zuweisungen!D48,'DIN V 18599-10'!$B$2:$H$47,6,FALSE)</f>
        <v>8</v>
      </c>
      <c r="V48">
        <f>VLOOKUP(Zuweisungen!D48,'DIN V 18599-10'!$B$2:$H$47,7,FALSE)</f>
        <v>23</v>
      </c>
      <c r="W48">
        <f>VLOOKUP(Zuweisungen!F48,'SIA 2024'!$C$2:$I$46,6,FALSE)</f>
        <v>7</v>
      </c>
      <c r="X48">
        <f>VLOOKUP(Zuweisungen!F48,'SIA 2024'!$C$2:$I$46,7,FALSE)</f>
        <v>23</v>
      </c>
      <c r="Y48">
        <f>VLOOKUP(B48,[2]usage_profiles!$E$2:$AH$109,3,FALSE)</f>
        <v>7.7050068737423043</v>
      </c>
      <c r="Z48">
        <f>VLOOKUP(B48,[2]usage_profiles!$E$2:$AH$109,4,FALSE)</f>
        <v>20.985455559761711</v>
      </c>
    </row>
    <row r="49" spans="1:26" x14ac:dyDescent="0.25">
      <c r="A49" t="s">
        <v>11</v>
      </c>
      <c r="B49" t="s">
        <v>291</v>
      </c>
      <c r="C49" t="s">
        <v>146</v>
      </c>
      <c r="D49" s="1" t="str">
        <f>VLOOKUP(Zuweisungen!C49,'DIN V 18599-10'!$A$2:$B$47,2,FALSE)</f>
        <v>31</v>
      </c>
      <c r="E49" t="s">
        <v>63</v>
      </c>
      <c r="F49" t="str">
        <f>VLOOKUP(Zuweisungen!E49,'SIA 2024'!$A$2:$C$46,3,FALSE)</f>
        <v>11.1</v>
      </c>
      <c r="G49" t="str">
        <f>VLOOKUP(B49,[1]data_18599_10_default_avarge!$A$2:$M$112,1,FALSE)</f>
        <v>Mehrfeldhalle</v>
      </c>
      <c r="H49">
        <f>VLOOKUP(B49,[1]data_18599_10_default_avarge!$A$2:$M$112,2,FALSE)</f>
        <v>54</v>
      </c>
      <c r="I49" s="9" t="str">
        <f>VLOOKUP(Zuweisungen!D49,'DIN V 18599-10'!$B$2:$F$47,2,FALSE)</f>
        <v>125</v>
      </c>
      <c r="J49" s="9">
        <f>VLOOKUP(Zuweisungen!F49,'SIA 2024'!$C$2:$G$46,2,FALSE)</f>
        <v>120</v>
      </c>
      <c r="K49" s="9">
        <f>VLOOKUP(B49,[2]usage_profiles!$E$2:$AH$109,29,FALSE)</f>
        <v>45.008905979159607</v>
      </c>
      <c r="L49" s="19" t="str">
        <f>VLOOKUP(Zuweisungen!D49,'DIN V 18599-10'!$B$2:$F$47,3,FALSE)</f>
        <v>0</v>
      </c>
      <c r="M49" s="19" t="str">
        <f>VLOOKUP(Zuweisungen!D49,'DIN V 18599-10'!$B$2:$F$47,4,FALSE)</f>
        <v>0</v>
      </c>
      <c r="N49" s="19" t="str">
        <f>VLOOKUP(Zuweisungen!D49,'DIN V 18599-10'!$B$2:$F$47,5,FALSE)</f>
        <v>0</v>
      </c>
      <c r="O49" s="10">
        <f>VLOOKUP(Zuweisungen!F49,'SIA 2024'!$C$2:$G$46,4,FALSE)</f>
        <v>0</v>
      </c>
      <c r="P49" s="11">
        <f>VLOOKUP(Zuweisungen!F49,'SIA 2024'!$C$2:$G$46,3,FALSE)</f>
        <v>0</v>
      </c>
      <c r="Q49" s="12">
        <f>VLOOKUP(Zuweisungen!F49,'SIA 2024'!$C$2:$G$46,5,FALSE)</f>
        <v>0</v>
      </c>
      <c r="R49" s="22">
        <f>VLOOKUP(B49,[2]usage_profiles!$E$2:$AH$109,30,FALSE)</f>
        <v>10.869996612938573</v>
      </c>
      <c r="S49" s="12">
        <f>VLOOKUP(B49,[2]usage_profiles!$E$2:$AH$109,30,FALSE)</f>
        <v>10.869996612938573</v>
      </c>
      <c r="T49" s="22">
        <f>VLOOKUP(B49,[2]usage_profiles!$E$2:$AH$109,30,FALSE)</f>
        <v>10.869996612938573</v>
      </c>
      <c r="U49">
        <f>VLOOKUP(Zuweisungen!D49,'DIN V 18599-10'!$B$2:$H$47,6,FALSE)</f>
        <v>8</v>
      </c>
      <c r="V49">
        <f>VLOOKUP(Zuweisungen!D49,'DIN V 18599-10'!$B$2:$H$47,7,FALSE)</f>
        <v>23</v>
      </c>
      <c r="W49">
        <f>VLOOKUP(Zuweisungen!F49,'SIA 2024'!$C$2:$I$46,6,FALSE)</f>
        <v>7</v>
      </c>
      <c r="X49">
        <f>VLOOKUP(Zuweisungen!F49,'SIA 2024'!$C$2:$I$46,7,FALSE)</f>
        <v>23</v>
      </c>
      <c r="Y49">
        <f>VLOOKUP(B49,[2]usage_profiles!$E$2:$AH$109,3,FALSE)</f>
        <v>7.7050068737423043</v>
      </c>
      <c r="Z49">
        <f>VLOOKUP(B49,[2]usage_profiles!$E$2:$AH$109,4,FALSE)</f>
        <v>20.985455559761711</v>
      </c>
    </row>
    <row r="50" spans="1:26" x14ac:dyDescent="0.25">
      <c r="A50" t="s">
        <v>11</v>
      </c>
      <c r="B50" t="s">
        <v>292</v>
      </c>
      <c r="C50" t="s">
        <v>146</v>
      </c>
      <c r="D50" s="1" t="str">
        <f>VLOOKUP(Zuweisungen!C50,'DIN V 18599-10'!$A$2:$B$47,2,FALSE)</f>
        <v>31</v>
      </c>
      <c r="E50" t="s">
        <v>63</v>
      </c>
      <c r="F50" t="str">
        <f>VLOOKUP(Zuweisungen!E50,'SIA 2024'!$A$2:$C$46,3,FALSE)</f>
        <v>11.1</v>
      </c>
      <c r="G50" t="str">
        <f>VLOOKUP(B50,[1]data_18599_10_default_avarge!$A$2:$M$112,1,FALSE)</f>
        <v>Gymnastikhalle</v>
      </c>
      <c r="H50">
        <f>VLOOKUP(B50,[1]data_18599_10_default_avarge!$A$2:$M$112,2,FALSE)</f>
        <v>55</v>
      </c>
      <c r="I50" s="9" t="str">
        <f>VLOOKUP(Zuweisungen!D50,'DIN V 18599-10'!$B$2:$F$47,2,FALSE)</f>
        <v>125</v>
      </c>
      <c r="J50" s="9">
        <f>VLOOKUP(Zuweisungen!F50,'SIA 2024'!$C$2:$G$46,2,FALSE)</f>
        <v>120</v>
      </c>
      <c r="K50" s="9">
        <f>VLOOKUP(B50,[2]usage_profiles!$E$2:$AH$109,29,FALSE)</f>
        <v>55.840091738737733</v>
      </c>
      <c r="L50" s="19" t="str">
        <f>VLOOKUP(Zuweisungen!D50,'DIN V 18599-10'!$B$2:$F$47,3,FALSE)</f>
        <v>0</v>
      </c>
      <c r="M50" s="19" t="str">
        <f>VLOOKUP(Zuweisungen!D50,'DIN V 18599-10'!$B$2:$F$47,4,FALSE)</f>
        <v>0</v>
      </c>
      <c r="N50" s="19" t="str">
        <f>VLOOKUP(Zuweisungen!D50,'DIN V 18599-10'!$B$2:$F$47,5,FALSE)</f>
        <v>0</v>
      </c>
      <c r="O50" s="10">
        <f>VLOOKUP(Zuweisungen!F50,'SIA 2024'!$C$2:$G$46,4,FALSE)</f>
        <v>0</v>
      </c>
      <c r="P50" s="11">
        <f>VLOOKUP(Zuweisungen!F50,'SIA 2024'!$C$2:$G$46,3,FALSE)</f>
        <v>0</v>
      </c>
      <c r="Q50" s="12">
        <f>VLOOKUP(Zuweisungen!F50,'SIA 2024'!$C$2:$G$46,5,FALSE)</f>
        <v>0</v>
      </c>
      <c r="R50" s="22">
        <f>VLOOKUP(B50,[2]usage_profiles!$E$2:$AH$109,30,FALSE)</f>
        <v>11.151779822141952</v>
      </c>
      <c r="S50" s="12">
        <f>VLOOKUP(B50,[2]usage_profiles!$E$2:$AH$109,30,FALSE)</f>
        <v>11.151779822141952</v>
      </c>
      <c r="T50" s="22">
        <f>VLOOKUP(B50,[2]usage_profiles!$E$2:$AH$109,30,FALSE)</f>
        <v>11.151779822141952</v>
      </c>
      <c r="U50">
        <f>VLOOKUP(Zuweisungen!D50,'DIN V 18599-10'!$B$2:$H$47,6,FALSE)</f>
        <v>8</v>
      </c>
      <c r="V50">
        <f>VLOOKUP(Zuweisungen!D50,'DIN V 18599-10'!$B$2:$H$47,7,FALSE)</f>
        <v>23</v>
      </c>
      <c r="W50">
        <f>VLOOKUP(Zuweisungen!F50,'SIA 2024'!$C$2:$I$46,6,FALSE)</f>
        <v>7</v>
      </c>
      <c r="X50">
        <f>VLOOKUP(Zuweisungen!F50,'SIA 2024'!$C$2:$I$46,7,FALSE)</f>
        <v>23</v>
      </c>
      <c r="Y50">
        <f>VLOOKUP(B50,[2]usage_profiles!$E$2:$AH$109,3,FALSE)</f>
        <v>7.7024756903875389</v>
      </c>
      <c r="Z50">
        <f>VLOOKUP(B50,[2]usage_profiles!$E$2:$AH$109,4,FALSE)</f>
        <v>20.794552947396557</v>
      </c>
    </row>
    <row r="51" spans="1:26" x14ac:dyDescent="0.25">
      <c r="A51" t="s">
        <v>11</v>
      </c>
      <c r="B51" t="s">
        <v>293</v>
      </c>
      <c r="C51" t="s">
        <v>146</v>
      </c>
      <c r="D51" s="1" t="str">
        <f>VLOOKUP(Zuweisungen!C51,'DIN V 18599-10'!$A$2:$B$47,2,FALSE)</f>
        <v>31</v>
      </c>
      <c r="E51" t="s">
        <v>218</v>
      </c>
      <c r="F51" t="str">
        <f>VLOOKUP(Zuweisungen!E51,'SIA 2024'!$A$2:$C$46,3,FALSE)</f>
        <v>7.2</v>
      </c>
      <c r="G51" t="str">
        <f>VLOOKUP(B51,[1]data_18599_10_default_avarge!$A$2:$M$112,1,FALSE)</f>
        <v>Sporthalle mit Mehrzwecknutzung</v>
      </c>
      <c r="H51">
        <f>VLOOKUP(B51,[1]data_18599_10_default_avarge!$A$2:$M$112,2,FALSE)</f>
        <v>56</v>
      </c>
      <c r="I51" s="9" t="str">
        <f>VLOOKUP(Zuweisungen!D51,'DIN V 18599-10'!$B$2:$F$47,2,FALSE)</f>
        <v>125</v>
      </c>
      <c r="J51" s="9">
        <f>VLOOKUP(Zuweisungen!F51,'SIA 2024'!$C$2:$G$46,2,FALSE)</f>
        <v>70</v>
      </c>
      <c r="K51" s="9">
        <f>VLOOKUP(B51,[2]usage_profiles!$E$2:$AH$109,29,FALSE)</f>
        <v>55.840091738737733</v>
      </c>
      <c r="L51" s="19" t="str">
        <f>VLOOKUP(Zuweisungen!D51,'DIN V 18599-10'!$B$2:$F$47,3,FALSE)</f>
        <v>0</v>
      </c>
      <c r="M51" s="19" t="str">
        <f>VLOOKUP(Zuweisungen!D51,'DIN V 18599-10'!$B$2:$F$47,4,FALSE)</f>
        <v>0</v>
      </c>
      <c r="N51" s="19" t="str">
        <f>VLOOKUP(Zuweisungen!D51,'DIN V 18599-10'!$B$2:$F$47,5,FALSE)</f>
        <v>0</v>
      </c>
      <c r="O51" s="10">
        <f>VLOOKUP(Zuweisungen!F51,'SIA 2024'!$C$2:$G$46,4,FALSE)</f>
        <v>2</v>
      </c>
      <c r="P51" s="11">
        <f>VLOOKUP(Zuweisungen!F51,'SIA 2024'!$C$2:$G$46,3,FALSE)</f>
        <v>4</v>
      </c>
      <c r="Q51" s="12">
        <f>VLOOKUP(Zuweisungen!F51,'SIA 2024'!$C$2:$G$46,5,FALSE)</f>
        <v>6</v>
      </c>
      <c r="R51" s="22">
        <f>VLOOKUP(B51,[2]usage_profiles!$E$2:$AH$109,30,FALSE)</f>
        <v>11.151779822141952</v>
      </c>
      <c r="S51" s="12">
        <f>VLOOKUP(B51,[2]usage_profiles!$E$2:$AH$109,30,FALSE)</f>
        <v>11.151779822141952</v>
      </c>
      <c r="T51" s="22">
        <f>VLOOKUP(B51,[2]usage_profiles!$E$2:$AH$109,30,FALSE)</f>
        <v>11.151779822141952</v>
      </c>
      <c r="U51">
        <f>VLOOKUP(Zuweisungen!D51,'DIN V 18599-10'!$B$2:$H$47,6,FALSE)</f>
        <v>8</v>
      </c>
      <c r="V51">
        <f>VLOOKUP(Zuweisungen!D51,'DIN V 18599-10'!$B$2:$H$47,7,FALSE)</f>
        <v>23</v>
      </c>
      <c r="W51">
        <f>VLOOKUP(Zuweisungen!F51,'SIA 2024'!$C$2:$I$46,6,FALSE)</f>
        <v>7</v>
      </c>
      <c r="X51">
        <f>VLOOKUP(Zuweisungen!F51,'SIA 2024'!$C$2:$I$46,7,FALSE)</f>
        <v>23</v>
      </c>
      <c r="Y51">
        <f>VLOOKUP(B51,[2]usage_profiles!$E$2:$AH$109,3,FALSE)</f>
        <v>7.7024756903875389</v>
      </c>
      <c r="Z51">
        <f>VLOOKUP(B51,[2]usage_profiles!$E$2:$AH$109,4,FALSE)</f>
        <v>20.794552947396557</v>
      </c>
    </row>
    <row r="52" spans="1:26" x14ac:dyDescent="0.25">
      <c r="A52" t="s">
        <v>11</v>
      </c>
      <c r="B52" t="s">
        <v>294</v>
      </c>
      <c r="C52" t="s">
        <v>146</v>
      </c>
      <c r="D52" s="1" t="str">
        <f>VLOOKUP(Zuweisungen!C52,'DIN V 18599-10'!$A$2:$B$47,2,FALSE)</f>
        <v>31</v>
      </c>
      <c r="E52" t="s">
        <v>12</v>
      </c>
      <c r="F52" t="str">
        <f>VLOOKUP(Zuweisungen!E52,'SIA 2024'!$A$2:$C$46,3,FALSE)</f>
        <v>11.3</v>
      </c>
      <c r="G52" t="str">
        <f>VLOOKUP(B52,[1]data_18599_10_default_avarge!$A$2:$M$112,1,FALSE)</f>
        <v>Hallenbad</v>
      </c>
      <c r="H52">
        <f>VLOOKUP(B52,[1]data_18599_10_default_avarge!$A$2:$M$112,2,FALSE)</f>
        <v>57</v>
      </c>
      <c r="I52" s="9" t="str">
        <f>VLOOKUP(Zuweisungen!D52,'DIN V 18599-10'!$B$2:$F$47,2,FALSE)</f>
        <v>125</v>
      </c>
      <c r="J52" s="9">
        <f>VLOOKUP(Zuweisungen!F52,'SIA 2024'!$C$2:$G$46,2,FALSE)</f>
        <v>70</v>
      </c>
      <c r="K52" s="9">
        <f>VLOOKUP(B52,[2]usage_profiles!$E$2:$AH$109,29,FALSE)</f>
        <v>56.335090735434576</v>
      </c>
      <c r="L52" s="19" t="str">
        <f>VLOOKUP(Zuweisungen!D52,'DIN V 18599-10'!$B$2:$F$47,3,FALSE)</f>
        <v>0</v>
      </c>
      <c r="M52" s="19" t="str">
        <f>VLOOKUP(Zuweisungen!D52,'DIN V 18599-10'!$B$2:$F$47,4,FALSE)</f>
        <v>0</v>
      </c>
      <c r="N52" s="19" t="str">
        <f>VLOOKUP(Zuweisungen!D52,'DIN V 18599-10'!$B$2:$F$47,5,FALSE)</f>
        <v>0</v>
      </c>
      <c r="O52" s="10">
        <f>VLOOKUP(Zuweisungen!F52,'SIA 2024'!$C$2:$G$46,4,FALSE)</f>
        <v>1</v>
      </c>
      <c r="P52" s="11">
        <f>VLOOKUP(Zuweisungen!F52,'SIA 2024'!$C$2:$G$46,3,FALSE)</f>
        <v>2</v>
      </c>
      <c r="Q52" s="12">
        <f>VLOOKUP(Zuweisungen!F52,'SIA 2024'!$C$2:$G$46,5,FALSE)</f>
        <v>3</v>
      </c>
      <c r="R52" s="22">
        <f>VLOOKUP(B52,[2]usage_profiles!$E$2:$AH$109,30,FALSE)</f>
        <v>44.411041069723019</v>
      </c>
      <c r="S52" s="12">
        <f>VLOOKUP(B52,[2]usage_profiles!$E$2:$AH$109,30,FALSE)</f>
        <v>44.411041069723019</v>
      </c>
      <c r="T52" s="22">
        <f>VLOOKUP(B52,[2]usage_profiles!$E$2:$AH$109,30,FALSE)</f>
        <v>44.411041069723019</v>
      </c>
      <c r="U52">
        <f>VLOOKUP(Zuweisungen!D52,'DIN V 18599-10'!$B$2:$H$47,6,FALSE)</f>
        <v>8</v>
      </c>
      <c r="V52">
        <f>VLOOKUP(Zuweisungen!D52,'DIN V 18599-10'!$B$2:$H$47,7,FALSE)</f>
        <v>23</v>
      </c>
      <c r="W52">
        <f>VLOOKUP(Zuweisungen!F52,'SIA 2024'!$C$2:$I$46,6,FALSE)</f>
        <v>7</v>
      </c>
      <c r="X52">
        <f>VLOOKUP(Zuweisungen!F52,'SIA 2024'!$C$2:$I$46,7,FALSE)</f>
        <v>23</v>
      </c>
      <c r="Y52">
        <f>VLOOKUP(B52,[2]usage_profiles!$E$2:$AH$109,3,FALSE)</f>
        <v>7.684164278892073</v>
      </c>
      <c r="Z52">
        <f>VLOOKUP(B52,[2]usage_profiles!$E$2:$AH$109,4,FALSE)</f>
        <v>20.232511938872971</v>
      </c>
    </row>
    <row r="53" spans="1:26" x14ac:dyDescent="0.25">
      <c r="A53" t="s">
        <v>11</v>
      </c>
      <c r="B53" t="s">
        <v>295</v>
      </c>
      <c r="C53" t="s">
        <v>146</v>
      </c>
      <c r="D53" s="1" t="str">
        <f>VLOOKUP(Zuweisungen!C53,'DIN V 18599-10'!$A$2:$B$47,2,FALSE)</f>
        <v>31</v>
      </c>
      <c r="E53" t="s">
        <v>12</v>
      </c>
      <c r="F53" t="str">
        <f>VLOOKUP(Zuweisungen!E53,'SIA 2024'!$A$2:$C$46,3,FALSE)</f>
        <v>11.3</v>
      </c>
      <c r="G53" t="str">
        <f>VLOOKUP(B53,[1]data_18599_10_default_avarge!$A$2:$M$112,1,FALSE)</f>
        <v>Spaß- und Freizeitbad</v>
      </c>
      <c r="H53">
        <f>VLOOKUP(B53,[1]data_18599_10_default_avarge!$A$2:$M$112,2,FALSE)</f>
        <v>58</v>
      </c>
      <c r="I53" s="9" t="str">
        <f>VLOOKUP(Zuweisungen!D53,'DIN V 18599-10'!$B$2:$F$47,2,FALSE)</f>
        <v>125</v>
      </c>
      <c r="J53" s="9">
        <f>VLOOKUP(Zuweisungen!F53,'SIA 2024'!$C$2:$G$46,2,FALSE)</f>
        <v>70</v>
      </c>
      <c r="K53" s="9">
        <f>VLOOKUP(B53,[2]usage_profiles!$E$2:$AH$109,29,FALSE)</f>
        <v>56.335090735434576</v>
      </c>
      <c r="L53" s="19" t="str">
        <f>VLOOKUP(Zuweisungen!D53,'DIN V 18599-10'!$B$2:$F$47,3,FALSE)</f>
        <v>0</v>
      </c>
      <c r="M53" s="19" t="str">
        <f>VLOOKUP(Zuweisungen!D53,'DIN V 18599-10'!$B$2:$F$47,4,FALSE)</f>
        <v>0</v>
      </c>
      <c r="N53" s="19" t="str">
        <f>VLOOKUP(Zuweisungen!D53,'DIN V 18599-10'!$B$2:$F$47,5,FALSE)</f>
        <v>0</v>
      </c>
      <c r="O53" s="10">
        <f>VLOOKUP(Zuweisungen!F53,'SIA 2024'!$C$2:$G$46,4,FALSE)</f>
        <v>1</v>
      </c>
      <c r="P53" s="11">
        <f>VLOOKUP(Zuweisungen!F53,'SIA 2024'!$C$2:$G$46,3,FALSE)</f>
        <v>2</v>
      </c>
      <c r="Q53" s="12">
        <f>VLOOKUP(Zuweisungen!F53,'SIA 2024'!$C$2:$G$46,5,FALSE)</f>
        <v>3</v>
      </c>
      <c r="R53" s="22">
        <f>VLOOKUP(B53,[2]usage_profiles!$E$2:$AH$109,30,FALSE)</f>
        <v>44.411041069723019</v>
      </c>
      <c r="S53" s="12">
        <f>VLOOKUP(B53,[2]usage_profiles!$E$2:$AH$109,30,FALSE)</f>
        <v>44.411041069723019</v>
      </c>
      <c r="T53" s="22">
        <f>VLOOKUP(B53,[2]usage_profiles!$E$2:$AH$109,30,FALSE)</f>
        <v>44.411041069723019</v>
      </c>
      <c r="U53">
        <f>VLOOKUP(Zuweisungen!D53,'DIN V 18599-10'!$B$2:$H$47,6,FALSE)</f>
        <v>8</v>
      </c>
      <c r="V53">
        <f>VLOOKUP(Zuweisungen!D53,'DIN V 18599-10'!$B$2:$H$47,7,FALSE)</f>
        <v>23</v>
      </c>
      <c r="W53">
        <f>VLOOKUP(Zuweisungen!F53,'SIA 2024'!$C$2:$I$46,6,FALSE)</f>
        <v>7</v>
      </c>
      <c r="X53">
        <f>VLOOKUP(Zuweisungen!F53,'SIA 2024'!$C$2:$I$46,7,FALSE)</f>
        <v>23</v>
      </c>
      <c r="Y53">
        <f>VLOOKUP(B53,[2]usage_profiles!$E$2:$AH$109,3,FALSE)</f>
        <v>7.684164278892073</v>
      </c>
      <c r="Z53">
        <f>VLOOKUP(B53,[2]usage_profiles!$E$2:$AH$109,4,FALSE)</f>
        <v>20.232511938872971</v>
      </c>
    </row>
    <row r="54" spans="1:26" x14ac:dyDescent="0.25">
      <c r="A54" t="s">
        <v>11</v>
      </c>
      <c r="B54" t="s">
        <v>296</v>
      </c>
      <c r="C54" t="s">
        <v>146</v>
      </c>
      <c r="D54" s="1" t="str">
        <f>VLOOKUP(Zuweisungen!C54,'DIN V 18599-10'!$A$2:$B$47,2,FALSE)</f>
        <v>31</v>
      </c>
      <c r="E54" t="s">
        <v>12</v>
      </c>
      <c r="F54" t="str">
        <f>VLOOKUP(Zuweisungen!E54,'SIA 2024'!$A$2:$C$46,3,FALSE)</f>
        <v>11.3</v>
      </c>
      <c r="G54" t="str">
        <f>VLOOKUP(B54,[1]data_18599_10_default_avarge!$A$2:$M$112,1,FALSE)</f>
        <v>Thermalbad</v>
      </c>
      <c r="H54">
        <f>VLOOKUP(B54,[1]data_18599_10_default_avarge!$A$2:$M$112,2,FALSE)</f>
        <v>59</v>
      </c>
      <c r="I54" s="9" t="str">
        <f>VLOOKUP(Zuweisungen!D54,'DIN V 18599-10'!$B$2:$F$47,2,FALSE)</f>
        <v>125</v>
      </c>
      <c r="J54" s="9">
        <f>VLOOKUP(Zuweisungen!F54,'SIA 2024'!$C$2:$G$46,2,FALSE)</f>
        <v>70</v>
      </c>
      <c r="K54" s="9">
        <f>VLOOKUP(B54,[2]usage_profiles!$E$2:$AH$109,29,FALSE)</f>
        <v>56.335090735434576</v>
      </c>
      <c r="L54" s="19" t="str">
        <f>VLOOKUP(Zuweisungen!D54,'DIN V 18599-10'!$B$2:$F$47,3,FALSE)</f>
        <v>0</v>
      </c>
      <c r="M54" s="19" t="str">
        <f>VLOOKUP(Zuweisungen!D54,'DIN V 18599-10'!$B$2:$F$47,4,FALSE)</f>
        <v>0</v>
      </c>
      <c r="N54" s="19" t="str">
        <f>VLOOKUP(Zuweisungen!D54,'DIN V 18599-10'!$B$2:$F$47,5,FALSE)</f>
        <v>0</v>
      </c>
      <c r="O54" s="10">
        <f>VLOOKUP(Zuweisungen!F54,'SIA 2024'!$C$2:$G$46,4,FALSE)</f>
        <v>1</v>
      </c>
      <c r="P54" s="11">
        <f>VLOOKUP(Zuweisungen!F54,'SIA 2024'!$C$2:$G$46,3,FALSE)</f>
        <v>2</v>
      </c>
      <c r="Q54" s="12">
        <f>VLOOKUP(Zuweisungen!F54,'SIA 2024'!$C$2:$G$46,5,FALSE)</f>
        <v>3</v>
      </c>
      <c r="R54" s="22">
        <f>VLOOKUP(B54,[2]usage_profiles!$E$2:$AH$109,30,FALSE)</f>
        <v>44.411041069723019</v>
      </c>
      <c r="S54" s="12">
        <f>VLOOKUP(B54,[2]usage_profiles!$E$2:$AH$109,30,FALSE)</f>
        <v>44.411041069723019</v>
      </c>
      <c r="T54" s="22">
        <f>VLOOKUP(B54,[2]usage_profiles!$E$2:$AH$109,30,FALSE)</f>
        <v>44.411041069723019</v>
      </c>
      <c r="U54">
        <f>VLOOKUP(Zuweisungen!D54,'DIN V 18599-10'!$B$2:$H$47,6,FALSE)</f>
        <v>8</v>
      </c>
      <c r="V54">
        <f>VLOOKUP(Zuweisungen!D54,'DIN V 18599-10'!$B$2:$H$47,7,FALSE)</f>
        <v>23</v>
      </c>
      <c r="W54">
        <f>VLOOKUP(Zuweisungen!F54,'SIA 2024'!$C$2:$I$46,6,FALSE)</f>
        <v>7</v>
      </c>
      <c r="X54">
        <f>VLOOKUP(Zuweisungen!F54,'SIA 2024'!$C$2:$I$46,7,FALSE)</f>
        <v>23</v>
      </c>
      <c r="Y54">
        <f>VLOOKUP(B54,[2]usage_profiles!$E$2:$AH$109,3,FALSE)</f>
        <v>7.684164278892073</v>
      </c>
      <c r="Z54">
        <f>VLOOKUP(B54,[2]usage_profiles!$E$2:$AH$109,4,FALSE)</f>
        <v>20.232511938872971</v>
      </c>
    </row>
    <row r="55" spans="1:26" x14ac:dyDescent="0.25">
      <c r="A55" t="s">
        <v>11</v>
      </c>
      <c r="B55" t="s">
        <v>297</v>
      </c>
      <c r="C55" t="s">
        <v>146</v>
      </c>
      <c r="D55" s="1" t="str">
        <f>VLOOKUP(Zuweisungen!C55,'DIN V 18599-10'!$A$2:$B$47,2,FALSE)</f>
        <v>31</v>
      </c>
      <c r="E55" t="s">
        <v>12</v>
      </c>
      <c r="F55" t="str">
        <f>VLOOKUP(Zuweisungen!E55,'SIA 2024'!$A$2:$C$46,3,FALSE)</f>
        <v>11.3</v>
      </c>
      <c r="G55" t="str">
        <f>VLOOKUP(B55,[1]data_18599_10_default_avarge!$A$2:$M$112,1,FALSE)</f>
        <v>Hallenbad mit Freibadanlage</v>
      </c>
      <c r="H55">
        <f>VLOOKUP(B55,[1]data_18599_10_default_avarge!$A$2:$M$112,2,FALSE)</f>
        <v>60</v>
      </c>
      <c r="I55" s="9" t="str">
        <f>VLOOKUP(Zuweisungen!D55,'DIN V 18599-10'!$B$2:$F$47,2,FALSE)</f>
        <v>125</v>
      </c>
      <c r="J55" s="9">
        <f>VLOOKUP(Zuweisungen!F55,'SIA 2024'!$C$2:$G$46,2,FALSE)</f>
        <v>70</v>
      </c>
      <c r="K55" s="9">
        <f>VLOOKUP(B55,[2]usage_profiles!$E$2:$AH$109,29,FALSE)</f>
        <v>56.335090735434576</v>
      </c>
      <c r="L55" s="19" t="str">
        <f>VLOOKUP(Zuweisungen!D55,'DIN V 18599-10'!$B$2:$F$47,3,FALSE)</f>
        <v>0</v>
      </c>
      <c r="M55" s="19" t="str">
        <f>VLOOKUP(Zuweisungen!D55,'DIN V 18599-10'!$B$2:$F$47,4,FALSE)</f>
        <v>0</v>
      </c>
      <c r="N55" s="19" t="str">
        <f>VLOOKUP(Zuweisungen!D55,'DIN V 18599-10'!$B$2:$F$47,5,FALSE)</f>
        <v>0</v>
      </c>
      <c r="O55" s="10">
        <f>VLOOKUP(Zuweisungen!F55,'SIA 2024'!$C$2:$G$46,4,FALSE)</f>
        <v>1</v>
      </c>
      <c r="P55" s="11">
        <f>VLOOKUP(Zuweisungen!F55,'SIA 2024'!$C$2:$G$46,3,FALSE)</f>
        <v>2</v>
      </c>
      <c r="Q55" s="12">
        <f>VLOOKUP(Zuweisungen!F55,'SIA 2024'!$C$2:$G$46,5,FALSE)</f>
        <v>3</v>
      </c>
      <c r="R55" s="22">
        <f>VLOOKUP(B55,[2]usage_profiles!$E$2:$AH$109,30,FALSE)</f>
        <v>44.411041069723019</v>
      </c>
      <c r="S55" s="12">
        <f>VLOOKUP(B55,[2]usage_profiles!$E$2:$AH$109,30,FALSE)</f>
        <v>44.411041069723019</v>
      </c>
      <c r="T55" s="22">
        <f>VLOOKUP(B55,[2]usage_profiles!$E$2:$AH$109,30,FALSE)</f>
        <v>44.411041069723019</v>
      </c>
      <c r="U55">
        <f>VLOOKUP(Zuweisungen!D55,'DIN V 18599-10'!$B$2:$H$47,6,FALSE)</f>
        <v>8</v>
      </c>
      <c r="V55">
        <f>VLOOKUP(Zuweisungen!D55,'DIN V 18599-10'!$B$2:$H$47,7,FALSE)</f>
        <v>23</v>
      </c>
      <c r="W55">
        <f>VLOOKUP(Zuweisungen!F55,'SIA 2024'!$C$2:$I$46,6,FALSE)</f>
        <v>7</v>
      </c>
      <c r="X55">
        <f>VLOOKUP(Zuweisungen!F55,'SIA 2024'!$C$2:$I$46,7,FALSE)</f>
        <v>23</v>
      </c>
      <c r="Y55">
        <f>VLOOKUP(B55,[2]usage_profiles!$E$2:$AH$109,3,FALSE)</f>
        <v>7.684164278892073</v>
      </c>
      <c r="Z55">
        <f>VLOOKUP(B55,[2]usage_profiles!$E$2:$AH$109,4,FALSE)</f>
        <v>20.232511938872971</v>
      </c>
    </row>
    <row r="56" spans="1:26" x14ac:dyDescent="0.25">
      <c r="A56" t="s">
        <v>11</v>
      </c>
      <c r="B56" t="s">
        <v>298</v>
      </c>
      <c r="C56" t="s">
        <v>146</v>
      </c>
      <c r="D56" s="1" t="str">
        <f>VLOOKUP(Zuweisungen!C56,'DIN V 18599-10'!$A$2:$B$47,2,FALSE)</f>
        <v>31</v>
      </c>
      <c r="E56" t="s">
        <v>63</v>
      </c>
      <c r="F56" t="str">
        <f>VLOOKUP(Zuweisungen!E56,'SIA 2024'!$A$2:$C$46,3,FALSE)</f>
        <v>11.1</v>
      </c>
      <c r="G56" t="str">
        <f>VLOOKUP(B56,[1]data_18599_10_default_avarge!$A$2:$M$112,1,FALSE)</f>
        <v>Kegelbahn/Bowling</v>
      </c>
      <c r="H56">
        <f>VLOOKUP(B56,[1]data_18599_10_default_avarge!$A$2:$M$112,2,FALSE)</f>
        <v>61</v>
      </c>
      <c r="I56" s="9" t="str">
        <f>VLOOKUP(Zuweisungen!D56,'DIN V 18599-10'!$B$2:$F$47,2,FALSE)</f>
        <v>125</v>
      </c>
      <c r="J56" s="9">
        <f>VLOOKUP(Zuweisungen!F56,'SIA 2024'!$C$2:$G$46,2,FALSE)</f>
        <v>120</v>
      </c>
      <c r="K56" s="9">
        <f>VLOOKUP(B56,[2]usage_profiles!$E$2:$AH$109,29,FALSE)</f>
        <v>55.840091738737733</v>
      </c>
      <c r="L56" s="19" t="str">
        <f>VLOOKUP(Zuweisungen!D56,'DIN V 18599-10'!$B$2:$F$47,3,FALSE)</f>
        <v>0</v>
      </c>
      <c r="M56" s="19" t="str">
        <f>VLOOKUP(Zuweisungen!D56,'DIN V 18599-10'!$B$2:$F$47,4,FALSE)</f>
        <v>0</v>
      </c>
      <c r="N56" s="19" t="str">
        <f>VLOOKUP(Zuweisungen!D56,'DIN V 18599-10'!$B$2:$F$47,5,FALSE)</f>
        <v>0</v>
      </c>
      <c r="O56" s="10">
        <f>VLOOKUP(Zuweisungen!F56,'SIA 2024'!$C$2:$G$46,4,FALSE)</f>
        <v>0</v>
      </c>
      <c r="P56" s="11">
        <f>VLOOKUP(Zuweisungen!F56,'SIA 2024'!$C$2:$G$46,3,FALSE)</f>
        <v>0</v>
      </c>
      <c r="Q56" s="12">
        <f>VLOOKUP(Zuweisungen!F56,'SIA 2024'!$C$2:$G$46,5,FALSE)</f>
        <v>0</v>
      </c>
      <c r="R56" s="22">
        <f>VLOOKUP(B56,[2]usage_profiles!$E$2:$AH$109,30,FALSE)</f>
        <v>11.151779822141952</v>
      </c>
      <c r="S56" s="12">
        <f>VLOOKUP(B56,[2]usage_profiles!$E$2:$AH$109,30,FALSE)</f>
        <v>11.151779822141952</v>
      </c>
      <c r="T56" s="22">
        <f>VLOOKUP(B56,[2]usage_profiles!$E$2:$AH$109,30,FALSE)</f>
        <v>11.151779822141952</v>
      </c>
      <c r="U56">
        <f>VLOOKUP(Zuweisungen!D56,'DIN V 18599-10'!$B$2:$H$47,6,FALSE)</f>
        <v>8</v>
      </c>
      <c r="V56">
        <f>VLOOKUP(Zuweisungen!D56,'DIN V 18599-10'!$B$2:$H$47,7,FALSE)</f>
        <v>23</v>
      </c>
      <c r="W56">
        <f>VLOOKUP(Zuweisungen!F56,'SIA 2024'!$C$2:$I$46,6,FALSE)</f>
        <v>7</v>
      </c>
      <c r="X56">
        <f>VLOOKUP(Zuweisungen!F56,'SIA 2024'!$C$2:$I$46,7,FALSE)</f>
        <v>23</v>
      </c>
      <c r="Y56">
        <f>VLOOKUP(B56,[2]usage_profiles!$E$2:$AH$109,3,FALSE)</f>
        <v>7.7024756903875389</v>
      </c>
      <c r="Z56">
        <f>VLOOKUP(B56,[2]usage_profiles!$E$2:$AH$109,4,FALSE)</f>
        <v>20.794552947396557</v>
      </c>
    </row>
    <row r="57" spans="1:26" x14ac:dyDescent="0.25">
      <c r="A57" t="s">
        <v>11</v>
      </c>
      <c r="B57" t="s">
        <v>299</v>
      </c>
      <c r="C57" t="s">
        <v>146</v>
      </c>
      <c r="D57" s="1" t="str">
        <f>VLOOKUP(Zuweisungen!C57,'DIN V 18599-10'!$A$2:$B$47,2,FALSE)</f>
        <v>31</v>
      </c>
      <c r="E57" t="s">
        <v>73</v>
      </c>
      <c r="F57" t="str">
        <f>VLOOKUP(Zuweisungen!E57,'SIA 2024'!$A$2:$C$46,3,FALSE)</f>
        <v>10.1</v>
      </c>
      <c r="G57" t="str">
        <f>VLOOKUP(B57,[1]data_18599_10_default_avarge!$A$2:$M$112,1,FALSE)</f>
        <v>Schießstand</v>
      </c>
      <c r="H57">
        <f>VLOOKUP(B57,[1]data_18599_10_default_avarge!$A$2:$M$112,2,FALSE)</f>
        <v>62</v>
      </c>
      <c r="I57" s="9" t="str">
        <f>VLOOKUP(Zuweisungen!D57,'DIN V 18599-10'!$B$2:$F$47,2,FALSE)</f>
        <v>125</v>
      </c>
      <c r="J57" s="9">
        <f>VLOOKUP(Zuweisungen!F57,'SIA 2024'!$C$2:$G$46,2,FALSE)</f>
        <v>90</v>
      </c>
      <c r="K57" s="9">
        <f>VLOOKUP(B57,[2]usage_profiles!$E$2:$AH$109,29,FALSE)</f>
        <v>55.840091738737733</v>
      </c>
      <c r="L57" s="19" t="str">
        <f>VLOOKUP(Zuweisungen!D57,'DIN V 18599-10'!$B$2:$F$47,3,FALSE)</f>
        <v>0</v>
      </c>
      <c r="M57" s="19" t="str">
        <f>VLOOKUP(Zuweisungen!D57,'DIN V 18599-10'!$B$2:$F$47,4,FALSE)</f>
        <v>0</v>
      </c>
      <c r="N57" s="19" t="str">
        <f>VLOOKUP(Zuweisungen!D57,'DIN V 18599-10'!$B$2:$F$47,5,FALSE)</f>
        <v>0</v>
      </c>
      <c r="O57" s="10">
        <f>VLOOKUP(Zuweisungen!F57,'SIA 2024'!$C$2:$G$46,4,FALSE)</f>
        <v>0</v>
      </c>
      <c r="P57" s="11">
        <f>VLOOKUP(Zuweisungen!F57,'SIA 2024'!$C$2:$G$46,3,FALSE)</f>
        <v>0</v>
      </c>
      <c r="Q57" s="12">
        <f>VLOOKUP(Zuweisungen!F57,'SIA 2024'!$C$2:$G$46,5,FALSE)</f>
        <v>0</v>
      </c>
      <c r="R57" s="22">
        <f>VLOOKUP(B57,[2]usage_profiles!$E$2:$AH$109,30,FALSE)</f>
        <v>11.151779822141952</v>
      </c>
      <c r="S57" s="12">
        <f>VLOOKUP(B57,[2]usage_profiles!$E$2:$AH$109,30,FALSE)</f>
        <v>11.151779822141952</v>
      </c>
      <c r="T57" s="22">
        <f>VLOOKUP(B57,[2]usage_profiles!$E$2:$AH$109,30,FALSE)</f>
        <v>11.151779822141952</v>
      </c>
      <c r="U57">
        <f>VLOOKUP(Zuweisungen!D57,'DIN V 18599-10'!$B$2:$H$47,6,FALSE)</f>
        <v>8</v>
      </c>
      <c r="V57">
        <f>VLOOKUP(Zuweisungen!D57,'DIN V 18599-10'!$B$2:$H$47,7,FALSE)</f>
        <v>23</v>
      </c>
      <c r="W57">
        <f>VLOOKUP(Zuweisungen!F57,'SIA 2024'!$C$2:$I$46,6,FALSE)</f>
        <v>0</v>
      </c>
      <c r="X57">
        <f>VLOOKUP(Zuweisungen!F57,'SIA 2024'!$C$2:$I$46,7,FALSE)</f>
        <v>24</v>
      </c>
      <c r="Y57">
        <f>VLOOKUP(B57,[2]usage_profiles!$E$2:$AH$109,3,FALSE)</f>
        <v>7.7024756903875389</v>
      </c>
      <c r="Z57">
        <f>VLOOKUP(B57,[2]usage_profiles!$E$2:$AH$109,4,FALSE)</f>
        <v>20.794552947396557</v>
      </c>
    </row>
    <row r="58" spans="1:26" x14ac:dyDescent="0.25">
      <c r="A58" t="s">
        <v>11</v>
      </c>
      <c r="B58" t="s">
        <v>300</v>
      </c>
      <c r="C58" t="s">
        <v>146</v>
      </c>
      <c r="D58" s="1" t="str">
        <f>VLOOKUP(Zuweisungen!C58,'DIN V 18599-10'!$A$2:$B$47,2,FALSE)</f>
        <v>31</v>
      </c>
      <c r="E58" t="s">
        <v>73</v>
      </c>
      <c r="F58" t="str">
        <f>VLOOKUP(Zuweisungen!E58,'SIA 2024'!$A$2:$C$46,3,FALSE)</f>
        <v>10.1</v>
      </c>
      <c r="G58" t="str">
        <f>VLOOKUP(B58,[1]data_18599_10_default_avarge!$A$2:$M$112,1,FALSE)</f>
        <v>Raumschießanlage</v>
      </c>
      <c r="H58">
        <f>VLOOKUP(B58,[1]data_18599_10_default_avarge!$A$2:$M$112,2,FALSE)</f>
        <v>63</v>
      </c>
      <c r="I58" s="9" t="str">
        <f>VLOOKUP(Zuweisungen!D58,'DIN V 18599-10'!$B$2:$F$47,2,FALSE)</f>
        <v>125</v>
      </c>
      <c r="J58" s="9">
        <f>VLOOKUP(Zuweisungen!F58,'SIA 2024'!$C$2:$G$46,2,FALSE)</f>
        <v>90</v>
      </c>
      <c r="K58" s="9">
        <f>VLOOKUP(B58,[2]usage_profiles!$E$2:$AH$109,29,FALSE)</f>
        <v>55.840091738737733</v>
      </c>
      <c r="L58" s="19" t="str">
        <f>VLOOKUP(Zuweisungen!D58,'DIN V 18599-10'!$B$2:$F$47,3,FALSE)</f>
        <v>0</v>
      </c>
      <c r="M58" s="19" t="str">
        <f>VLOOKUP(Zuweisungen!D58,'DIN V 18599-10'!$B$2:$F$47,4,FALSE)</f>
        <v>0</v>
      </c>
      <c r="N58" s="19" t="str">
        <f>VLOOKUP(Zuweisungen!D58,'DIN V 18599-10'!$B$2:$F$47,5,FALSE)</f>
        <v>0</v>
      </c>
      <c r="O58" s="10">
        <f>VLOOKUP(Zuweisungen!F58,'SIA 2024'!$C$2:$G$46,4,FALSE)</f>
        <v>0</v>
      </c>
      <c r="P58" s="11">
        <f>VLOOKUP(Zuweisungen!F58,'SIA 2024'!$C$2:$G$46,3,FALSE)</f>
        <v>0</v>
      </c>
      <c r="Q58" s="12">
        <f>VLOOKUP(Zuweisungen!F58,'SIA 2024'!$C$2:$G$46,5,FALSE)</f>
        <v>0</v>
      </c>
      <c r="R58" s="22">
        <f>VLOOKUP(B58,[2]usage_profiles!$E$2:$AH$109,30,FALSE)</f>
        <v>11.151779822141952</v>
      </c>
      <c r="S58" s="12">
        <f>VLOOKUP(B58,[2]usage_profiles!$E$2:$AH$109,30,FALSE)</f>
        <v>11.151779822141952</v>
      </c>
      <c r="T58" s="22">
        <f>VLOOKUP(B58,[2]usage_profiles!$E$2:$AH$109,30,FALSE)</f>
        <v>11.151779822141952</v>
      </c>
      <c r="U58">
        <f>VLOOKUP(Zuweisungen!D58,'DIN V 18599-10'!$B$2:$H$47,6,FALSE)</f>
        <v>8</v>
      </c>
      <c r="V58">
        <f>VLOOKUP(Zuweisungen!D58,'DIN V 18599-10'!$B$2:$H$47,7,FALSE)</f>
        <v>23</v>
      </c>
      <c r="W58">
        <f>VLOOKUP(Zuweisungen!F58,'SIA 2024'!$C$2:$I$46,6,FALSE)</f>
        <v>0</v>
      </c>
      <c r="X58">
        <f>VLOOKUP(Zuweisungen!F58,'SIA 2024'!$C$2:$I$46,7,FALSE)</f>
        <v>24</v>
      </c>
      <c r="Y58">
        <f>VLOOKUP(B58,[2]usage_profiles!$E$2:$AH$109,3,FALSE)</f>
        <v>7.7024756903875389</v>
      </c>
      <c r="Z58">
        <f>VLOOKUP(B58,[2]usage_profiles!$E$2:$AH$109,4,FALSE)</f>
        <v>20.794552947396557</v>
      </c>
    </row>
    <row r="59" spans="1:26" x14ac:dyDescent="0.25">
      <c r="A59" t="s">
        <v>11</v>
      </c>
      <c r="B59" t="s">
        <v>301</v>
      </c>
      <c r="C59" t="s">
        <v>329</v>
      </c>
      <c r="D59" s="1" t="str">
        <f>VLOOKUP(Zuweisungen!C59,'DIN V 18599-10'!$A$2:$B$47,2,FALSE)</f>
        <v>41</v>
      </c>
      <c r="E59" t="s">
        <v>73</v>
      </c>
      <c r="F59" t="str">
        <f>VLOOKUP(Zuweisungen!E59,'SIA 2024'!$A$2:$C$46,3,FALSE)</f>
        <v>10.1</v>
      </c>
      <c r="G59" t="str">
        <f>VLOOKUP(B59,[1]data_18599_10_default_avarge!$A$2:$M$112,1,FALSE)</f>
        <v>Reithalle</v>
      </c>
      <c r="H59">
        <f>VLOOKUP(B59,[1]data_18599_10_default_avarge!$A$2:$M$112,2,FALSE)</f>
        <v>64</v>
      </c>
      <c r="I59" s="9" t="str">
        <f>VLOOKUP(Zuweisungen!D59,'DIN V 18599-10'!$B$2:$F$47,2,FALSE)</f>
        <v>70</v>
      </c>
      <c r="J59" s="9">
        <f>VLOOKUP(Zuweisungen!F59,'SIA 2024'!$C$2:$G$46,2,FALSE)</f>
        <v>90</v>
      </c>
      <c r="K59" s="9">
        <f>VLOOKUP(B59,[2]usage_profiles!$E$2:$AH$109,29,FALSE)</f>
        <v>7.9120725976340962</v>
      </c>
      <c r="L59" s="19" t="str">
        <f>VLOOKUP(Zuweisungen!D59,'DIN V 18599-10'!$B$2:$F$47,3,FALSE)</f>
        <v>0</v>
      </c>
      <c r="M59" s="19" t="str">
        <f>VLOOKUP(Zuweisungen!D59,'DIN V 18599-10'!$B$2:$F$47,4,FALSE)</f>
        <v>0</v>
      </c>
      <c r="N59" s="19" t="str">
        <f>VLOOKUP(Zuweisungen!D59,'DIN V 18599-10'!$B$2:$F$47,5,FALSE)</f>
        <v>0</v>
      </c>
      <c r="O59" s="10">
        <f>VLOOKUP(Zuweisungen!F59,'SIA 2024'!$C$2:$G$46,4,FALSE)</f>
        <v>0</v>
      </c>
      <c r="P59" s="11">
        <f>VLOOKUP(Zuweisungen!F59,'SIA 2024'!$C$2:$G$46,3,FALSE)</f>
        <v>0</v>
      </c>
      <c r="Q59" s="12">
        <f>VLOOKUP(Zuweisungen!F59,'SIA 2024'!$C$2:$G$46,5,FALSE)</f>
        <v>0</v>
      </c>
      <c r="R59" s="22">
        <f>VLOOKUP(B59,[2]usage_profiles!$E$2:$AH$109,30,FALSE)</f>
        <v>20.636914600550966</v>
      </c>
      <c r="S59" s="12">
        <f>VLOOKUP(B59,[2]usage_profiles!$E$2:$AH$109,30,FALSE)</f>
        <v>20.636914600550966</v>
      </c>
      <c r="T59" s="22">
        <f>VLOOKUP(B59,[2]usage_profiles!$E$2:$AH$109,30,FALSE)</f>
        <v>20.636914600550966</v>
      </c>
      <c r="U59">
        <f>VLOOKUP(Zuweisungen!D59,'DIN V 18599-10'!$B$2:$H$47,6,FALSE)</f>
        <v>0</v>
      </c>
      <c r="V59">
        <f>VLOOKUP(Zuweisungen!D59,'DIN V 18599-10'!$B$2:$H$47,7,FALSE)</f>
        <v>24</v>
      </c>
      <c r="W59">
        <f>VLOOKUP(Zuweisungen!F59,'SIA 2024'!$C$2:$I$46,6,FALSE)</f>
        <v>0</v>
      </c>
      <c r="X59">
        <f>VLOOKUP(Zuweisungen!F59,'SIA 2024'!$C$2:$I$46,7,FALSE)</f>
        <v>24</v>
      </c>
      <c r="Y59">
        <f>VLOOKUP(B59,[2]usage_profiles!$E$2:$AH$109,3,FALSE)</f>
        <v>2.4412736995624704</v>
      </c>
      <c r="Z59">
        <f>VLOOKUP(B59,[2]usage_profiles!$E$2:$AH$109,4,FALSE)</f>
        <v>21.812980068060284</v>
      </c>
    </row>
    <row r="60" spans="1:26" x14ac:dyDescent="0.25">
      <c r="A60" t="s">
        <v>11</v>
      </c>
      <c r="B60" t="s">
        <v>302</v>
      </c>
      <c r="C60" t="s">
        <v>329</v>
      </c>
      <c r="D60" s="1" t="str">
        <f>VLOOKUP(Zuweisungen!C60,'DIN V 18599-10'!$A$2:$B$47,2,FALSE)</f>
        <v>41</v>
      </c>
      <c r="E60" t="s">
        <v>73</v>
      </c>
      <c r="F60" t="str">
        <f>VLOOKUP(Zuweisungen!E60,'SIA 2024'!$A$2:$C$46,3,FALSE)</f>
        <v>10.1</v>
      </c>
      <c r="G60" t="str">
        <f>VLOOKUP(B60,[1]data_18599_10_default_avarge!$A$2:$M$112,1,FALSE)</f>
        <v>Eissporthalle</v>
      </c>
      <c r="H60">
        <f>VLOOKUP(B60,[1]data_18599_10_default_avarge!$A$2:$M$112,2,FALSE)</f>
        <v>65</v>
      </c>
      <c r="I60" s="9" t="str">
        <f>VLOOKUP(Zuweisungen!D60,'DIN V 18599-10'!$B$2:$F$47,2,FALSE)</f>
        <v>70</v>
      </c>
      <c r="J60" s="9">
        <f>VLOOKUP(Zuweisungen!F60,'SIA 2024'!$C$2:$G$46,2,FALSE)</f>
        <v>90</v>
      </c>
      <c r="K60" s="9">
        <f>VLOOKUP(B60,[2]usage_profiles!$E$2:$AH$109,29,FALSE)</f>
        <v>7.9120725976340962</v>
      </c>
      <c r="L60" s="19" t="str">
        <f>VLOOKUP(Zuweisungen!D60,'DIN V 18599-10'!$B$2:$F$47,3,FALSE)</f>
        <v>0</v>
      </c>
      <c r="M60" s="19" t="str">
        <f>VLOOKUP(Zuweisungen!D60,'DIN V 18599-10'!$B$2:$F$47,4,FALSE)</f>
        <v>0</v>
      </c>
      <c r="N60" s="19" t="str">
        <f>VLOOKUP(Zuweisungen!D60,'DIN V 18599-10'!$B$2:$F$47,5,FALSE)</f>
        <v>0</v>
      </c>
      <c r="O60" s="10">
        <f>VLOOKUP(Zuweisungen!F60,'SIA 2024'!$C$2:$G$46,4,FALSE)</f>
        <v>0</v>
      </c>
      <c r="P60" s="11">
        <f>VLOOKUP(Zuweisungen!F60,'SIA 2024'!$C$2:$G$46,3,FALSE)</f>
        <v>0</v>
      </c>
      <c r="Q60" s="12">
        <f>VLOOKUP(Zuweisungen!F60,'SIA 2024'!$C$2:$G$46,5,FALSE)</f>
        <v>0</v>
      </c>
      <c r="R60" s="22">
        <f>VLOOKUP(B60,[2]usage_profiles!$E$2:$AH$109,30,FALSE)</f>
        <v>20.636914600550966</v>
      </c>
      <c r="S60" s="12">
        <f>VLOOKUP(B60,[2]usage_profiles!$E$2:$AH$109,30,FALSE)</f>
        <v>20.636914600550966</v>
      </c>
      <c r="T60" s="22">
        <f>VLOOKUP(B60,[2]usage_profiles!$E$2:$AH$109,30,FALSE)</f>
        <v>20.636914600550966</v>
      </c>
      <c r="U60">
        <f>VLOOKUP(Zuweisungen!D60,'DIN V 18599-10'!$B$2:$H$47,6,FALSE)</f>
        <v>0</v>
      </c>
      <c r="V60">
        <f>VLOOKUP(Zuweisungen!D60,'DIN V 18599-10'!$B$2:$H$47,7,FALSE)</f>
        <v>24</v>
      </c>
      <c r="W60">
        <f>VLOOKUP(Zuweisungen!F60,'SIA 2024'!$C$2:$I$46,6,FALSE)</f>
        <v>0</v>
      </c>
      <c r="X60">
        <f>VLOOKUP(Zuweisungen!F60,'SIA 2024'!$C$2:$I$46,7,FALSE)</f>
        <v>24</v>
      </c>
      <c r="Y60">
        <f>VLOOKUP(B60,[2]usage_profiles!$E$2:$AH$109,3,FALSE)</f>
        <v>2.4412736995624704</v>
      </c>
      <c r="Z60">
        <f>VLOOKUP(B60,[2]usage_profiles!$E$2:$AH$109,4,FALSE)</f>
        <v>21.812980068060284</v>
      </c>
    </row>
    <row r="61" spans="1:26" x14ac:dyDescent="0.25">
      <c r="A61" t="s">
        <v>11</v>
      </c>
      <c r="B61" t="s">
        <v>303</v>
      </c>
      <c r="C61" t="s">
        <v>146</v>
      </c>
      <c r="D61" s="1" t="str">
        <f>VLOOKUP(Zuweisungen!C61,'DIN V 18599-10'!$A$2:$B$47,2,FALSE)</f>
        <v>31</v>
      </c>
      <c r="E61" t="s">
        <v>63</v>
      </c>
      <c r="F61" t="str">
        <f>VLOOKUP(Zuweisungen!E61,'SIA 2024'!$A$2:$C$46,3,FALSE)</f>
        <v>11.1</v>
      </c>
      <c r="G61" t="str">
        <f>VLOOKUP(B61,[1]data_18599_10_default_avarge!$A$2:$M$112,1,FALSE)</f>
        <v>Tennishalle</v>
      </c>
      <c r="H61">
        <f>VLOOKUP(B61,[1]data_18599_10_default_avarge!$A$2:$M$112,2,FALSE)</f>
        <v>66</v>
      </c>
      <c r="I61" s="9" t="str">
        <f>VLOOKUP(Zuweisungen!D61,'DIN V 18599-10'!$B$2:$F$47,2,FALSE)</f>
        <v>125</v>
      </c>
      <c r="J61" s="9">
        <f>VLOOKUP(Zuweisungen!F61,'SIA 2024'!$C$2:$G$46,2,FALSE)</f>
        <v>120</v>
      </c>
      <c r="K61" s="9">
        <f>VLOOKUP(B61,[2]usage_profiles!$E$2:$AH$109,29,FALSE)</f>
        <v>55.840091738737733</v>
      </c>
      <c r="L61" s="19" t="str">
        <f>VLOOKUP(Zuweisungen!D61,'DIN V 18599-10'!$B$2:$F$47,3,FALSE)</f>
        <v>0</v>
      </c>
      <c r="M61" s="19" t="str">
        <f>VLOOKUP(Zuweisungen!D61,'DIN V 18599-10'!$B$2:$F$47,4,FALSE)</f>
        <v>0</v>
      </c>
      <c r="N61" s="19" t="str">
        <f>VLOOKUP(Zuweisungen!D61,'DIN V 18599-10'!$B$2:$F$47,5,FALSE)</f>
        <v>0</v>
      </c>
      <c r="O61" s="10">
        <f>VLOOKUP(Zuweisungen!F61,'SIA 2024'!$C$2:$G$46,4,FALSE)</f>
        <v>0</v>
      </c>
      <c r="P61" s="11">
        <f>VLOOKUP(Zuweisungen!F61,'SIA 2024'!$C$2:$G$46,3,FALSE)</f>
        <v>0</v>
      </c>
      <c r="Q61" s="12">
        <f>VLOOKUP(Zuweisungen!F61,'SIA 2024'!$C$2:$G$46,5,FALSE)</f>
        <v>0</v>
      </c>
      <c r="R61" s="22">
        <f>VLOOKUP(B61,[2]usage_profiles!$E$2:$AH$109,30,FALSE)</f>
        <v>11.151779822141952</v>
      </c>
      <c r="S61" s="12">
        <f>VLOOKUP(B61,[2]usage_profiles!$E$2:$AH$109,30,FALSE)</f>
        <v>11.151779822141952</v>
      </c>
      <c r="T61" s="22">
        <f>VLOOKUP(B61,[2]usage_profiles!$E$2:$AH$109,30,FALSE)</f>
        <v>11.151779822141952</v>
      </c>
      <c r="U61">
        <f>VLOOKUP(Zuweisungen!D61,'DIN V 18599-10'!$B$2:$H$47,6,FALSE)</f>
        <v>8</v>
      </c>
      <c r="V61">
        <f>VLOOKUP(Zuweisungen!D61,'DIN V 18599-10'!$B$2:$H$47,7,FALSE)</f>
        <v>23</v>
      </c>
      <c r="W61">
        <f>VLOOKUP(Zuweisungen!F61,'SIA 2024'!$C$2:$I$46,6,FALSE)</f>
        <v>7</v>
      </c>
      <c r="X61">
        <f>VLOOKUP(Zuweisungen!F61,'SIA 2024'!$C$2:$I$46,7,FALSE)</f>
        <v>23</v>
      </c>
      <c r="Y61">
        <f>VLOOKUP(B61,[2]usage_profiles!$E$2:$AH$109,3,FALSE)</f>
        <v>7.7024756903875389</v>
      </c>
      <c r="Z61">
        <f>VLOOKUP(B61,[2]usage_profiles!$E$2:$AH$109,4,FALSE)</f>
        <v>20.794552947396557</v>
      </c>
    </row>
    <row r="62" spans="1:26" x14ac:dyDescent="0.25">
      <c r="A62" t="s">
        <v>11</v>
      </c>
      <c r="B62" t="s">
        <v>13</v>
      </c>
      <c r="C62" t="s">
        <v>14</v>
      </c>
      <c r="D62" s="1" t="str">
        <f>VLOOKUP(Zuweisungen!C62,'DIN V 18599-10'!$A$2:$B$47,2,FALSE)</f>
        <v>35</v>
      </c>
      <c r="E62" t="s">
        <v>14</v>
      </c>
      <c r="F62" t="str">
        <f>VLOOKUP(Zuweisungen!E62,'SIA 2024'!$A$2:$C$46,3,FALSE)</f>
        <v>11.2</v>
      </c>
      <c r="G62" t="str">
        <f>VLOOKUP(B62,[1]data_18599_10_default_avarge!$A$2:$M$112,1,FALSE)</f>
        <v>Fitnessstudio</v>
      </c>
      <c r="H62">
        <f>VLOOKUP(B62,[1]data_18599_10_default_avarge!$A$2:$M$112,2,FALSE)</f>
        <v>67</v>
      </c>
      <c r="I62" s="9" t="str">
        <f>VLOOKUP(Zuweisungen!D62,'DIN V 18599-10'!$B$2:$F$47,2,FALSE)</f>
        <v>110</v>
      </c>
      <c r="J62" s="9">
        <f>VLOOKUP(Zuweisungen!F62,'SIA 2024'!$C$2:$G$46,2,FALSE)</f>
        <v>120</v>
      </c>
      <c r="K62" s="9">
        <f>VLOOKUP(B62,[2]usage_profiles!$E$2:$AH$109,29,FALSE)</f>
        <v>157.82927147139321</v>
      </c>
      <c r="L62" s="19" t="str">
        <f>VLOOKUP(Zuweisungen!D62,'DIN V 18599-10'!$B$2:$F$47,3,FALSE)</f>
        <v>1</v>
      </c>
      <c r="M62" s="19" t="str">
        <f>VLOOKUP(Zuweisungen!D62,'DIN V 18599-10'!$B$2:$F$47,4,FALSE)</f>
        <v>2</v>
      </c>
      <c r="N62" s="19" t="str">
        <f>VLOOKUP(Zuweisungen!D62,'DIN V 18599-10'!$B$2:$F$47,5,FALSE)</f>
        <v>3</v>
      </c>
      <c r="O62" s="10">
        <f>VLOOKUP(Zuweisungen!F62,'SIA 2024'!$C$2:$G$46,4,FALSE)</f>
        <v>1</v>
      </c>
      <c r="P62" s="11">
        <f>VLOOKUP(Zuweisungen!F62,'SIA 2024'!$C$2:$G$46,3,FALSE)</f>
        <v>2</v>
      </c>
      <c r="Q62" s="12">
        <f>VLOOKUP(Zuweisungen!F62,'SIA 2024'!$C$2:$G$46,5,FALSE)</f>
        <v>3</v>
      </c>
      <c r="R62" s="22">
        <f>VLOOKUP(B62,[2]usage_profiles!$E$2:$AH$109,30,FALSE)</f>
        <v>72.104783005343421</v>
      </c>
      <c r="S62" s="12">
        <f>VLOOKUP(B62,[2]usage_profiles!$E$2:$AH$109,30,FALSE)</f>
        <v>72.104783005343421</v>
      </c>
      <c r="T62" s="22">
        <f>VLOOKUP(B62,[2]usage_profiles!$E$2:$AH$109,30,FALSE)</f>
        <v>72.104783005343421</v>
      </c>
      <c r="U62">
        <f>VLOOKUP(Zuweisungen!D62,'DIN V 18599-10'!$B$2:$H$47,6,FALSE)</f>
        <v>8</v>
      </c>
      <c r="V62">
        <f>VLOOKUP(Zuweisungen!D62,'DIN V 18599-10'!$B$2:$H$47,7,FALSE)</f>
        <v>23</v>
      </c>
      <c r="W62">
        <f>VLOOKUP(Zuweisungen!F62,'SIA 2024'!$C$2:$I$46,6,FALSE)</f>
        <v>7</v>
      </c>
      <c r="X62">
        <f>VLOOKUP(Zuweisungen!F62,'SIA 2024'!$C$2:$I$46,7,FALSE)</f>
        <v>23</v>
      </c>
      <c r="Y62">
        <f>VLOOKUP(B62,[2]usage_profiles!$E$2:$AH$109,3,FALSE)</f>
        <v>7.7101524827316563</v>
      </c>
      <c r="Z62">
        <f>VLOOKUP(B62,[2]usage_profiles!$E$2:$AH$109,4,FALSE)</f>
        <v>20.943698683696081</v>
      </c>
    </row>
    <row r="63" spans="1:26" x14ac:dyDescent="0.25">
      <c r="A63" t="s">
        <v>11</v>
      </c>
      <c r="B63" t="s">
        <v>304</v>
      </c>
      <c r="C63" t="s">
        <v>123</v>
      </c>
      <c r="D63" s="1" t="str">
        <f>VLOOKUP(Zuweisungen!C63,'DIN V 18599-10'!$A$2:$B$47,2,FALSE)</f>
        <v>18</v>
      </c>
      <c r="E63" t="s">
        <v>67</v>
      </c>
      <c r="F63" t="str">
        <f>VLOOKUP(Zuweisungen!E63,'SIA 2024'!$A$2:$C$46,3,FALSE)</f>
        <v>12.8</v>
      </c>
      <c r="G63" t="str">
        <f>VLOOKUP(B63,[1]data_18599_10_default_avarge!$A$2:$M$112,1,FALSE)</f>
        <v>Gebäude für Sportaußenanlage (Tribünen-, Umkleidegebäude)</v>
      </c>
      <c r="H63">
        <f>VLOOKUP(B63,[1]data_18599_10_default_avarge!$A$2:$M$112,2,FALSE)</f>
        <v>68</v>
      </c>
      <c r="I63" s="9" t="str">
        <f>VLOOKUP(Zuweisungen!D63,'DIN V 18599-10'!$B$2:$F$47,2,FALSE)</f>
        <v>70</v>
      </c>
      <c r="J63" s="9">
        <f>VLOOKUP(Zuweisungen!F63,'SIA 2024'!$C$2:$G$46,2,FALSE)</f>
        <v>70</v>
      </c>
      <c r="K63" s="9">
        <f>VLOOKUP(B63,[2]usage_profiles!$E$2:$AH$109,29,FALSE)</f>
        <v>59.274012231822155</v>
      </c>
      <c r="L63" s="19" t="str">
        <f>VLOOKUP(Zuweisungen!D63,'DIN V 18599-10'!$B$2:$F$47,3,FALSE)</f>
        <v>0</v>
      </c>
      <c r="M63" s="19" t="str">
        <f>VLOOKUP(Zuweisungen!D63,'DIN V 18599-10'!$B$2:$F$47,4,FALSE)</f>
        <v>0</v>
      </c>
      <c r="N63" s="19" t="str">
        <f>VLOOKUP(Zuweisungen!D63,'DIN V 18599-10'!$B$2:$F$47,5,FALSE)</f>
        <v>0</v>
      </c>
      <c r="O63" s="10">
        <f>VLOOKUP(Zuweisungen!F63,'SIA 2024'!$C$2:$G$46,4,FALSE)</f>
        <v>0</v>
      </c>
      <c r="P63" s="11">
        <f>VLOOKUP(Zuweisungen!F63,'SIA 2024'!$C$2:$G$46,3,FALSE)</f>
        <v>0</v>
      </c>
      <c r="Q63" s="12">
        <f>VLOOKUP(Zuweisungen!F63,'SIA 2024'!$C$2:$G$46,5,FALSE)</f>
        <v>0</v>
      </c>
      <c r="R63" s="22">
        <f>VLOOKUP(B63,[2]usage_profiles!$E$2:$AH$109,30,FALSE)</f>
        <v>49.697349771866811</v>
      </c>
      <c r="S63" s="12">
        <f>VLOOKUP(B63,[2]usage_profiles!$E$2:$AH$109,30,FALSE)</f>
        <v>49.697349771866811</v>
      </c>
      <c r="T63" s="22">
        <f>VLOOKUP(B63,[2]usage_profiles!$E$2:$AH$109,30,FALSE)</f>
        <v>49.697349771866811</v>
      </c>
      <c r="U63">
        <f>VLOOKUP(Zuweisungen!D63,'DIN V 18599-10'!$B$2:$H$47,6,FALSE)</f>
        <v>7</v>
      </c>
      <c r="V63">
        <f>VLOOKUP(Zuweisungen!D63,'DIN V 18599-10'!$B$2:$H$47,7,FALSE)</f>
        <v>18</v>
      </c>
      <c r="W63">
        <f>VLOOKUP(Zuweisungen!F63,'SIA 2024'!$C$2:$I$46,6,FALSE)</f>
        <v>7</v>
      </c>
      <c r="X63">
        <f>VLOOKUP(Zuweisungen!F63,'SIA 2024'!$C$2:$I$46,7,FALSE)</f>
        <v>18</v>
      </c>
      <c r="Y63">
        <f>VLOOKUP(B63,[2]usage_profiles!$E$2:$AH$109,3,FALSE)</f>
        <v>7.0382487137171132</v>
      </c>
      <c r="Z63">
        <f>VLOOKUP(B63,[2]usage_profiles!$E$2:$AH$109,4,FALSE)</f>
        <v>18.781341617318706</v>
      </c>
    </row>
    <row r="64" spans="1:26" x14ac:dyDescent="0.25">
      <c r="A64" t="s">
        <v>247</v>
      </c>
      <c r="B64" t="s">
        <v>305</v>
      </c>
      <c r="C64" t="s">
        <v>108</v>
      </c>
      <c r="D64" s="1" t="str">
        <f>VLOOKUP(Zuweisungen!C64,'DIN V 18599-10'!$A$2:$B$47,2,FALSE)</f>
        <v>11</v>
      </c>
      <c r="E64" t="s">
        <v>43</v>
      </c>
      <c r="F64" t="str">
        <f>VLOOKUP(Zuweisungen!E64,'SIA 2024'!$A$2:$C$46,3,FALSE)</f>
        <v>2.1</v>
      </c>
      <c r="G64" t="str">
        <f>VLOOKUP(B64,[1]data_18599_10_default_avarge!$A$2:$M$112,1,FALSE)</f>
        <v>Herberge, Ferienheim, Ferienhaus, Hotel/Pension einfach</v>
      </c>
      <c r="H64">
        <f>VLOOKUP(B64,[1]data_18599_10_default_avarge!$A$2:$M$112,2,FALSE)</f>
        <v>70</v>
      </c>
      <c r="I64" s="9" t="str">
        <f>VLOOKUP(Zuweisungen!D64,'DIN V 18599-10'!$B$2:$F$47,2,FALSE)</f>
        <v>70</v>
      </c>
      <c r="J64" s="9">
        <f>VLOOKUP(Zuweisungen!F64,'SIA 2024'!$C$2:$G$46,2,FALSE)</f>
        <v>70</v>
      </c>
      <c r="K64" s="9">
        <f>VLOOKUP(B64,[2]usage_profiles!$E$2:$AH$109,29,FALSE)</f>
        <v>65.36905794030487</v>
      </c>
      <c r="L64" s="19" t="str">
        <f>VLOOKUP(Zuweisungen!D64,'DIN V 18599-10'!$B$2:$F$47,3,FALSE)</f>
        <v>2</v>
      </c>
      <c r="M64" s="19" t="str">
        <f>VLOOKUP(Zuweisungen!D64,'DIN V 18599-10'!$B$2:$F$47,4,FALSE)</f>
        <v>4</v>
      </c>
      <c r="N64" s="19" t="str">
        <f>VLOOKUP(Zuweisungen!D64,'DIN V 18599-10'!$B$2:$F$47,5,FALSE)</f>
        <v>6</v>
      </c>
      <c r="O64" s="10">
        <f>VLOOKUP(Zuweisungen!F64,'SIA 2024'!$C$2:$G$46,4,FALSE)</f>
        <v>4</v>
      </c>
      <c r="P64" s="11">
        <f>VLOOKUP(Zuweisungen!F64,'SIA 2024'!$C$2:$G$46,3,FALSE)</f>
        <v>8</v>
      </c>
      <c r="Q64" s="12">
        <f>VLOOKUP(Zuweisungen!F64,'SIA 2024'!$C$2:$G$46,5,FALSE)</f>
        <v>10</v>
      </c>
      <c r="R64" s="22">
        <f>VLOOKUP(B64,[2]usage_profiles!$E$2:$AH$109,30,FALSE)</f>
        <v>60.656898705888324</v>
      </c>
      <c r="S64" s="12">
        <f>VLOOKUP(B64,[2]usage_profiles!$E$2:$AH$109,30,FALSE)</f>
        <v>60.656898705888324</v>
      </c>
      <c r="T64" s="22">
        <f>VLOOKUP(B64,[2]usage_profiles!$E$2:$AH$109,30,FALSE)</f>
        <v>60.656898705888324</v>
      </c>
      <c r="U64">
        <f>VLOOKUP(Zuweisungen!D64,'DIN V 18599-10'!$B$2:$H$47,6,FALSE)</f>
        <v>21</v>
      </c>
      <c r="V64">
        <f>VLOOKUP(Zuweisungen!D64,'DIN V 18599-10'!$B$2:$H$47,7,FALSE)</f>
        <v>8</v>
      </c>
      <c r="W64">
        <f>VLOOKUP(Zuweisungen!F64,'SIA 2024'!$C$2:$I$46,6,FALSE)</f>
        <v>17</v>
      </c>
      <c r="X64">
        <f>VLOOKUP(Zuweisungen!F64,'SIA 2024'!$C$2:$I$46,7,FALSE)</f>
        <v>12</v>
      </c>
      <c r="Y64">
        <f>VLOOKUP(B64,[2]usage_profiles!$E$2:$AH$109,3,FALSE)</f>
        <v>2.0849447580562068</v>
      </c>
      <c r="Z64">
        <f>VLOOKUP(B64,[2]usage_profiles!$E$2:$AH$109,4,FALSE)</f>
        <v>13.622961187204432</v>
      </c>
    </row>
    <row r="65" spans="1:26" x14ac:dyDescent="0.25">
      <c r="A65" t="s">
        <v>247</v>
      </c>
      <c r="B65" t="s">
        <v>3</v>
      </c>
      <c r="C65" t="s">
        <v>108</v>
      </c>
      <c r="D65" s="1" t="str">
        <f>VLOOKUP(Zuweisungen!C65,'DIN V 18599-10'!$A$2:$B$47,2,FALSE)</f>
        <v>11</v>
      </c>
      <c r="E65" t="s">
        <v>43</v>
      </c>
      <c r="F65" t="str">
        <f>VLOOKUP(Zuweisungen!E65,'SIA 2024'!$A$2:$C$46,3,FALSE)</f>
        <v>2.1</v>
      </c>
      <c r="G65" t="str">
        <f>VLOOKUP(B65,[1]data_18599_10_default_avarge!$A$2:$M$112,1,FALSE)</f>
        <v>Sterne-Hotel</v>
      </c>
      <c r="H65">
        <f>VLOOKUP(B65,[1]data_18599_10_default_avarge!$A$2:$M$112,2,FALSE)</f>
        <v>71</v>
      </c>
      <c r="I65" s="9" t="str">
        <f>VLOOKUP(Zuweisungen!D65,'DIN V 18599-10'!$B$2:$F$47,2,FALSE)</f>
        <v>70</v>
      </c>
      <c r="J65" s="9">
        <f>VLOOKUP(Zuweisungen!F65,'SIA 2024'!$C$2:$G$46,2,FALSE)</f>
        <v>70</v>
      </c>
      <c r="K65" s="9">
        <f>VLOOKUP(B65,[2]usage_profiles!$E$2:$AH$109,29,FALSE)</f>
        <v>62.58728189595449</v>
      </c>
      <c r="L65" s="19" t="str">
        <f>VLOOKUP(Zuweisungen!D65,'DIN V 18599-10'!$B$2:$F$47,3,FALSE)</f>
        <v>2</v>
      </c>
      <c r="M65" s="19" t="str">
        <f>VLOOKUP(Zuweisungen!D65,'DIN V 18599-10'!$B$2:$F$47,4,FALSE)</f>
        <v>4</v>
      </c>
      <c r="N65" s="19" t="str">
        <f>VLOOKUP(Zuweisungen!D65,'DIN V 18599-10'!$B$2:$F$47,5,FALSE)</f>
        <v>6</v>
      </c>
      <c r="O65" s="10">
        <f>VLOOKUP(Zuweisungen!F65,'SIA 2024'!$C$2:$G$46,4,FALSE)</f>
        <v>4</v>
      </c>
      <c r="P65" s="11">
        <f>VLOOKUP(Zuweisungen!F65,'SIA 2024'!$C$2:$G$46,3,FALSE)</f>
        <v>8</v>
      </c>
      <c r="Q65" s="12">
        <f>VLOOKUP(Zuweisungen!F65,'SIA 2024'!$C$2:$G$46,5,FALSE)</f>
        <v>10</v>
      </c>
      <c r="R65" s="22">
        <f>VLOOKUP(B65,[2]usage_profiles!$E$2:$AH$109,30,FALSE)</f>
        <v>81.727303484831396</v>
      </c>
      <c r="S65" s="12">
        <f>VLOOKUP(B65,[2]usage_profiles!$E$2:$AH$109,30,FALSE)</f>
        <v>81.727303484831396</v>
      </c>
      <c r="T65" s="22">
        <f>VLOOKUP(B65,[2]usage_profiles!$E$2:$AH$109,30,FALSE)</f>
        <v>81.727303484831396</v>
      </c>
      <c r="U65">
        <f>VLOOKUP(Zuweisungen!D65,'DIN V 18599-10'!$B$2:$H$47,6,FALSE)</f>
        <v>21</v>
      </c>
      <c r="V65">
        <f>VLOOKUP(Zuweisungen!D65,'DIN V 18599-10'!$B$2:$H$47,7,FALSE)</f>
        <v>8</v>
      </c>
      <c r="W65">
        <f>VLOOKUP(Zuweisungen!F65,'SIA 2024'!$C$2:$I$46,6,FALSE)</f>
        <v>17</v>
      </c>
      <c r="X65">
        <f>VLOOKUP(Zuweisungen!F65,'SIA 2024'!$C$2:$I$46,7,FALSE)</f>
        <v>12</v>
      </c>
      <c r="Y65">
        <f>VLOOKUP(B65,[2]usage_profiles!$E$2:$AH$109,3,FALSE)</f>
        <v>2.3159709355717024</v>
      </c>
      <c r="Z65">
        <f>VLOOKUP(B65,[2]usage_profiles!$E$2:$AH$109,4,FALSE)</f>
        <v>13.650501860832296</v>
      </c>
    </row>
    <row r="66" spans="1:26" x14ac:dyDescent="0.25">
      <c r="A66" t="s">
        <v>247</v>
      </c>
      <c r="B66" t="s">
        <v>306</v>
      </c>
      <c r="C66" t="s">
        <v>112</v>
      </c>
      <c r="D66" s="1" t="str">
        <f>VLOOKUP(Zuweisungen!C66,'DIN V 18599-10'!$A$2:$B$47,2,FALSE)</f>
        <v>13</v>
      </c>
      <c r="E66" t="s">
        <v>45</v>
      </c>
      <c r="F66" t="str">
        <f>VLOOKUP(Zuweisungen!E66,'SIA 2024'!$A$2:$C$46,3,FALSE)</f>
        <v>6.1</v>
      </c>
      <c r="G66" t="str">
        <f>VLOOKUP(B66,[1]data_18599_10_default_avarge!$A$2:$M$112,1,FALSE)</f>
        <v>Ausschankwirtschaft</v>
      </c>
      <c r="H66">
        <f>VLOOKUP(B66,[1]data_18599_10_default_avarge!$A$2:$M$112,2,FALSE)</f>
        <v>72</v>
      </c>
      <c r="I66" s="9" t="str">
        <f>VLOOKUP(Zuweisungen!D66,'DIN V 18599-10'!$B$2:$F$47,2,FALSE)</f>
        <v>70</v>
      </c>
      <c r="J66" s="9">
        <f>VLOOKUP(Zuweisungen!F66,'SIA 2024'!$C$2:$G$46,2,FALSE)</f>
        <v>70</v>
      </c>
      <c r="K66" s="9">
        <f>VLOOKUP(B66,[2]usage_profiles!$E$2:$AH$109,29,FALSE)</f>
        <v>124.253510062373</v>
      </c>
      <c r="L66" s="19" t="str">
        <f>VLOOKUP(Zuweisungen!D66,'DIN V 18599-10'!$B$2:$F$47,3,FALSE)</f>
        <v>1</v>
      </c>
      <c r="M66" s="19" t="str">
        <f>VLOOKUP(Zuweisungen!D66,'DIN V 18599-10'!$B$2:$F$47,4,FALSE)</f>
        <v>2</v>
      </c>
      <c r="N66" s="19" t="str">
        <f>VLOOKUP(Zuweisungen!D66,'DIN V 18599-10'!$B$2:$F$47,5,FALSE)</f>
        <v>3</v>
      </c>
      <c r="O66" s="10">
        <f>VLOOKUP(Zuweisungen!F66,'SIA 2024'!$C$2:$G$46,4,FALSE)</f>
        <v>1</v>
      </c>
      <c r="P66" s="11">
        <f>VLOOKUP(Zuweisungen!F66,'SIA 2024'!$C$2:$G$46,3,FALSE)</f>
        <v>2</v>
      </c>
      <c r="Q66" s="12">
        <f>VLOOKUP(Zuweisungen!F66,'SIA 2024'!$C$2:$G$46,5,FALSE)</f>
        <v>3</v>
      </c>
      <c r="R66" s="22">
        <f>VLOOKUP(B66,[2]usage_profiles!$E$2:$AH$109,30,FALSE)</f>
        <v>183.82744625385604</v>
      </c>
      <c r="S66" s="12">
        <f>VLOOKUP(B66,[2]usage_profiles!$E$2:$AH$109,30,FALSE)</f>
        <v>183.82744625385604</v>
      </c>
      <c r="T66" s="22">
        <f>VLOOKUP(B66,[2]usage_profiles!$E$2:$AH$109,30,FALSE)</f>
        <v>183.82744625385604</v>
      </c>
      <c r="U66">
        <f>VLOOKUP(Zuweisungen!D66,'DIN V 18599-10'!$B$2:$H$47,6,FALSE)</f>
        <v>10</v>
      </c>
      <c r="V66">
        <f>VLOOKUP(Zuweisungen!D66,'DIN V 18599-10'!$B$2:$H$47,7,FALSE)</f>
        <v>24</v>
      </c>
      <c r="W66">
        <f>VLOOKUP(Zuweisungen!F66,'SIA 2024'!$C$2:$I$46,6,FALSE)</f>
        <v>8</v>
      </c>
      <c r="X66">
        <f>VLOOKUP(Zuweisungen!F66,'SIA 2024'!$C$2:$I$46,7,FALSE)</f>
        <v>24</v>
      </c>
      <c r="Y66">
        <f>VLOOKUP(B66,[2]usage_profiles!$E$2:$AH$109,3,FALSE)</f>
        <v>8.6921519155228921</v>
      </c>
      <c r="Z66">
        <f>VLOOKUP(B66,[2]usage_profiles!$E$2:$AH$109,4,FALSE)</f>
        <v>21.147192857063317</v>
      </c>
    </row>
    <row r="67" spans="1:26" x14ac:dyDescent="0.25">
      <c r="A67" t="s">
        <v>247</v>
      </c>
      <c r="B67" t="s">
        <v>307</v>
      </c>
      <c r="C67" t="s">
        <v>112</v>
      </c>
      <c r="D67" s="1" t="str">
        <f>VLOOKUP(Zuweisungen!C67,'DIN V 18599-10'!$A$2:$B$47,2,FALSE)</f>
        <v>13</v>
      </c>
      <c r="E67" t="s">
        <v>45</v>
      </c>
      <c r="F67" t="str">
        <f>VLOOKUP(Zuweisungen!E67,'SIA 2024'!$A$2:$C$46,3,FALSE)</f>
        <v>6.1</v>
      </c>
      <c r="G67" t="str">
        <f>VLOOKUP(B67,[1]data_18599_10_default_avarge!$A$2:$M$112,1,FALSE)</f>
        <v>Speisegaststätte (einfach)</v>
      </c>
      <c r="H67">
        <f>VLOOKUP(B67,[1]data_18599_10_default_avarge!$A$2:$M$112,2,FALSE)</f>
        <v>73</v>
      </c>
      <c r="I67" s="9" t="str">
        <f>VLOOKUP(Zuweisungen!D67,'DIN V 18599-10'!$B$2:$F$47,2,FALSE)</f>
        <v>70</v>
      </c>
      <c r="J67" s="9">
        <f>VLOOKUP(Zuweisungen!F67,'SIA 2024'!$C$2:$G$46,2,FALSE)</f>
        <v>70</v>
      </c>
      <c r="K67" s="9">
        <f>VLOOKUP(B67,[2]usage_profiles!$E$2:$AH$109,29,FALSE)</f>
        <v>124.253510062373</v>
      </c>
      <c r="L67" s="19" t="str">
        <f>VLOOKUP(Zuweisungen!D67,'DIN V 18599-10'!$B$2:$F$47,3,FALSE)</f>
        <v>1</v>
      </c>
      <c r="M67" s="19" t="str">
        <f>VLOOKUP(Zuweisungen!D67,'DIN V 18599-10'!$B$2:$F$47,4,FALSE)</f>
        <v>2</v>
      </c>
      <c r="N67" s="19" t="str">
        <f>VLOOKUP(Zuweisungen!D67,'DIN V 18599-10'!$B$2:$F$47,5,FALSE)</f>
        <v>3</v>
      </c>
      <c r="O67" s="10">
        <f>VLOOKUP(Zuweisungen!F67,'SIA 2024'!$C$2:$G$46,4,FALSE)</f>
        <v>1</v>
      </c>
      <c r="P67" s="11">
        <f>VLOOKUP(Zuweisungen!F67,'SIA 2024'!$C$2:$G$46,3,FALSE)</f>
        <v>2</v>
      </c>
      <c r="Q67" s="12">
        <f>VLOOKUP(Zuweisungen!F67,'SIA 2024'!$C$2:$G$46,5,FALSE)</f>
        <v>3</v>
      </c>
      <c r="R67" s="22">
        <f>VLOOKUP(B67,[2]usage_profiles!$E$2:$AH$109,30,FALSE)</f>
        <v>183.82744625385604</v>
      </c>
      <c r="S67" s="12">
        <f>VLOOKUP(B67,[2]usage_profiles!$E$2:$AH$109,30,FALSE)</f>
        <v>183.82744625385604</v>
      </c>
      <c r="T67" s="22">
        <f>VLOOKUP(B67,[2]usage_profiles!$E$2:$AH$109,30,FALSE)</f>
        <v>183.82744625385604</v>
      </c>
      <c r="U67">
        <f>VLOOKUP(Zuweisungen!D67,'DIN V 18599-10'!$B$2:$H$47,6,FALSE)</f>
        <v>10</v>
      </c>
      <c r="V67">
        <f>VLOOKUP(Zuweisungen!D67,'DIN V 18599-10'!$B$2:$H$47,7,FALSE)</f>
        <v>24</v>
      </c>
      <c r="W67">
        <f>VLOOKUP(Zuweisungen!F67,'SIA 2024'!$C$2:$I$46,6,FALSE)</f>
        <v>8</v>
      </c>
      <c r="X67">
        <f>VLOOKUP(Zuweisungen!F67,'SIA 2024'!$C$2:$I$46,7,FALSE)</f>
        <v>24</v>
      </c>
      <c r="Y67">
        <f>VLOOKUP(B67,[2]usage_profiles!$E$2:$AH$109,3,FALSE)</f>
        <v>8.6921519155228921</v>
      </c>
      <c r="Z67">
        <f>VLOOKUP(B67,[2]usage_profiles!$E$2:$AH$109,4,FALSE)</f>
        <v>21.147192857063317</v>
      </c>
    </row>
    <row r="68" spans="1:26" x14ac:dyDescent="0.25">
      <c r="A68" t="s">
        <v>247</v>
      </c>
      <c r="B68" t="s">
        <v>308</v>
      </c>
      <c r="C68" t="s">
        <v>112</v>
      </c>
      <c r="D68" s="1" t="str">
        <f>VLOOKUP(Zuweisungen!C68,'DIN V 18599-10'!$A$2:$B$47,2,FALSE)</f>
        <v>13</v>
      </c>
      <c r="E68" t="s">
        <v>45</v>
      </c>
      <c r="F68" t="str">
        <f>VLOOKUP(Zuweisungen!E68,'SIA 2024'!$A$2:$C$46,3,FALSE)</f>
        <v>6.1</v>
      </c>
      <c r="G68" t="str">
        <f>VLOOKUP(B68,[1]data_18599_10_default_avarge!$A$2:$M$112,1,FALSE)</f>
        <v>Restaurant (gehoben)</v>
      </c>
      <c r="H68">
        <f>VLOOKUP(B68,[1]data_18599_10_default_avarge!$A$2:$M$112,2,FALSE)</f>
        <v>74</v>
      </c>
      <c r="I68" s="9" t="str">
        <f>VLOOKUP(Zuweisungen!D68,'DIN V 18599-10'!$B$2:$F$47,2,FALSE)</f>
        <v>70</v>
      </c>
      <c r="J68" s="9">
        <f>VLOOKUP(Zuweisungen!F68,'SIA 2024'!$C$2:$G$46,2,FALSE)</f>
        <v>70</v>
      </c>
      <c r="K68" s="9">
        <f>VLOOKUP(B68,[2]usage_profiles!$E$2:$AH$109,29,FALSE)</f>
        <v>124.253510062373</v>
      </c>
      <c r="L68" s="19" t="str">
        <f>VLOOKUP(Zuweisungen!D68,'DIN V 18599-10'!$B$2:$F$47,3,FALSE)</f>
        <v>1</v>
      </c>
      <c r="M68" s="19" t="str">
        <f>VLOOKUP(Zuweisungen!D68,'DIN V 18599-10'!$B$2:$F$47,4,FALSE)</f>
        <v>2</v>
      </c>
      <c r="N68" s="19" t="str">
        <f>VLOOKUP(Zuweisungen!D68,'DIN V 18599-10'!$B$2:$F$47,5,FALSE)</f>
        <v>3</v>
      </c>
      <c r="O68" s="10">
        <f>VLOOKUP(Zuweisungen!F68,'SIA 2024'!$C$2:$G$46,4,FALSE)</f>
        <v>1</v>
      </c>
      <c r="P68" s="11">
        <f>VLOOKUP(Zuweisungen!F68,'SIA 2024'!$C$2:$G$46,3,FALSE)</f>
        <v>2</v>
      </c>
      <c r="Q68" s="12">
        <f>VLOOKUP(Zuweisungen!F68,'SIA 2024'!$C$2:$G$46,5,FALSE)</f>
        <v>3</v>
      </c>
      <c r="R68" s="22">
        <f>VLOOKUP(B68,[2]usage_profiles!$E$2:$AH$109,30,FALSE)</f>
        <v>183.82744625385604</v>
      </c>
      <c r="S68" s="12">
        <f>VLOOKUP(B68,[2]usage_profiles!$E$2:$AH$109,30,FALSE)</f>
        <v>183.82744625385604</v>
      </c>
      <c r="T68" s="22">
        <f>VLOOKUP(B68,[2]usage_profiles!$E$2:$AH$109,30,FALSE)</f>
        <v>183.82744625385604</v>
      </c>
      <c r="U68">
        <f>VLOOKUP(Zuweisungen!D68,'DIN V 18599-10'!$B$2:$H$47,6,FALSE)</f>
        <v>10</v>
      </c>
      <c r="V68">
        <f>VLOOKUP(Zuweisungen!D68,'DIN V 18599-10'!$B$2:$H$47,7,FALSE)</f>
        <v>24</v>
      </c>
      <c r="W68">
        <f>VLOOKUP(Zuweisungen!F68,'SIA 2024'!$C$2:$I$46,6,FALSE)</f>
        <v>8</v>
      </c>
      <c r="X68">
        <f>VLOOKUP(Zuweisungen!F68,'SIA 2024'!$C$2:$I$46,7,FALSE)</f>
        <v>24</v>
      </c>
      <c r="Y68">
        <f>VLOOKUP(B68,[2]usage_profiles!$E$2:$AH$109,3,FALSE)</f>
        <v>8.6921519155228921</v>
      </c>
      <c r="Z68">
        <f>VLOOKUP(B68,[2]usage_profiles!$E$2:$AH$109,4,FALSE)</f>
        <v>21.147192857063317</v>
      </c>
    </row>
    <row r="69" spans="1:26" x14ac:dyDescent="0.25">
      <c r="A69" t="s">
        <v>247</v>
      </c>
      <c r="B69" t="s">
        <v>4</v>
      </c>
      <c r="C69" t="s">
        <v>111</v>
      </c>
      <c r="D69" s="1" t="str">
        <f>VLOOKUP(Zuweisungen!C69,'DIN V 18599-10'!$A$2:$B$47,2,FALSE)</f>
        <v>12</v>
      </c>
      <c r="E69" t="s">
        <v>47</v>
      </c>
      <c r="F69" t="str">
        <f>VLOOKUP(Zuweisungen!E69,'SIA 2024'!$A$2:$C$46,3,FALSE)</f>
        <v>6.2</v>
      </c>
      <c r="G69" t="str">
        <f>VLOOKUP(B69,[1]data_18599_10_default_avarge!$A$2:$M$112,1,FALSE)</f>
        <v>Mensa/Kantine</v>
      </c>
      <c r="H69">
        <f>VLOOKUP(B69,[1]data_18599_10_default_avarge!$A$2:$M$112,2,FALSE)</f>
        <v>75</v>
      </c>
      <c r="I69" s="9" t="str">
        <f>VLOOKUP(Zuweisungen!D69,'DIN V 18599-10'!$B$2:$F$47,2,FALSE)</f>
        <v>70</v>
      </c>
      <c r="J69" s="9">
        <f>VLOOKUP(Zuweisungen!F69,'SIA 2024'!$C$2:$G$46,2,FALSE)</f>
        <v>70</v>
      </c>
      <c r="K69" s="9">
        <f>VLOOKUP(B69,[2]usage_profiles!$E$2:$AH$109,29,FALSE)</f>
        <v>88.930591560276795</v>
      </c>
      <c r="L69" s="19" t="str">
        <f>VLOOKUP(Zuweisungen!D69,'DIN V 18599-10'!$B$2:$F$47,3,FALSE)</f>
        <v>1</v>
      </c>
      <c r="M69" s="19" t="str">
        <f>VLOOKUP(Zuweisungen!D69,'DIN V 18599-10'!$B$2:$F$47,4,FALSE)</f>
        <v>2</v>
      </c>
      <c r="N69" s="19" t="str">
        <f>VLOOKUP(Zuweisungen!D69,'DIN V 18599-10'!$B$2:$F$47,5,FALSE)</f>
        <v>3</v>
      </c>
      <c r="O69" s="10">
        <f>VLOOKUP(Zuweisungen!F69,'SIA 2024'!$C$2:$G$46,4,FALSE)</f>
        <v>1</v>
      </c>
      <c r="P69" s="11">
        <f>VLOOKUP(Zuweisungen!F69,'SIA 2024'!$C$2:$G$46,3,FALSE)</f>
        <v>2</v>
      </c>
      <c r="Q69" s="12">
        <f>VLOOKUP(Zuweisungen!F69,'SIA 2024'!$C$2:$G$46,5,FALSE)</f>
        <v>3</v>
      </c>
      <c r="R69" s="22">
        <f>VLOOKUP(B69,[2]usage_profiles!$E$2:$AH$109,30,FALSE)</f>
        <v>184.75782087515842</v>
      </c>
      <c r="S69" s="12">
        <f>VLOOKUP(B69,[2]usage_profiles!$E$2:$AH$109,30,FALSE)</f>
        <v>184.75782087515842</v>
      </c>
      <c r="T69" s="22">
        <f>VLOOKUP(B69,[2]usage_profiles!$E$2:$AH$109,30,FALSE)</f>
        <v>184.75782087515842</v>
      </c>
      <c r="U69">
        <f>VLOOKUP(Zuweisungen!D69,'DIN V 18599-10'!$B$2:$H$47,6,FALSE)</f>
        <v>8</v>
      </c>
      <c r="V69">
        <f>VLOOKUP(Zuweisungen!D69,'DIN V 18599-10'!$B$2:$H$47,7,FALSE)</f>
        <v>15</v>
      </c>
      <c r="W69">
        <f>VLOOKUP(Zuweisungen!F69,'SIA 2024'!$C$2:$I$46,6,FALSE)</f>
        <v>8</v>
      </c>
      <c r="X69">
        <f>VLOOKUP(Zuweisungen!F69,'SIA 2024'!$C$2:$I$46,7,FALSE)</f>
        <v>15</v>
      </c>
      <c r="Y69">
        <f>VLOOKUP(B69,[2]usage_profiles!$E$2:$AH$109,3,FALSE)</f>
        <v>7.9261280576941839</v>
      </c>
      <c r="Z69">
        <f>VLOOKUP(B69,[2]usage_profiles!$E$2:$AH$109,4,FALSE)</f>
        <v>17.548582009550728</v>
      </c>
    </row>
    <row r="70" spans="1:26" x14ac:dyDescent="0.25">
      <c r="A70" t="s">
        <v>247</v>
      </c>
      <c r="B70" t="s">
        <v>309</v>
      </c>
      <c r="C70" t="s">
        <v>349</v>
      </c>
      <c r="D70" s="1">
        <f>VLOOKUP(Zuweisungen!C70,'DIN V 18599-10'!$A$2:$B$47,2,FALSE)</f>
        <v>43</v>
      </c>
      <c r="E70" t="s">
        <v>344</v>
      </c>
      <c r="F70" t="str">
        <f>VLOOKUP(Zuweisungen!E70,'SIA 2024'!$A$2:$C$46,3,FALSE)</f>
        <v>1.1</v>
      </c>
      <c r="G70" t="str">
        <f>VLOOKUP(B70,[1]data_18599_10_default_avarge!$A$2:$M$112,1,FALSE)</f>
        <v>Gemeinschaftsunterkunft (z.B. Flüchtlingsheim, Kaserne, Kloster)</v>
      </c>
      <c r="H70">
        <f>VLOOKUP(B70,[1]data_18599_10_default_avarge!$A$2:$M$112,2,FALSE)</f>
        <v>76</v>
      </c>
      <c r="I70" s="9">
        <f>VLOOKUP(Zuweisungen!D70,'DIN V 18599-10'!$B$2:$F$47,2,FALSE)</f>
        <v>80</v>
      </c>
      <c r="J70" s="9">
        <f>VLOOKUP(Zuweisungen!F70,'SIA 2024'!$C$2:$G$46,2,FALSE)</f>
        <v>70</v>
      </c>
      <c r="K70" s="9">
        <f>VLOOKUP(B70,[2]usage_profiles!$E$2:$AH$109,29,FALSE)</f>
        <v>65.36905794030487</v>
      </c>
      <c r="L70" s="19" t="str">
        <f>VLOOKUP(Zuweisungen!D70,'DIN V 18599-10'!$B$2:$F$47,3,FALSE)</f>
        <v>4.8</v>
      </c>
      <c r="M70" s="19" t="str">
        <f>VLOOKUP(Zuweisungen!D70,'DIN V 18599-10'!$B$2:$F$47,4,FALSE)</f>
        <v>7.2</v>
      </c>
      <c r="N70" s="19" t="str">
        <f>VLOOKUP(Zuweisungen!D70,'DIN V 18599-10'!$B$2:$F$47,5,FALSE)</f>
        <v>10.8</v>
      </c>
      <c r="O70" s="10">
        <f>VLOOKUP(Zuweisungen!F70,'SIA 2024'!$C$2:$G$46,4,FALSE)</f>
        <v>4</v>
      </c>
      <c r="P70" s="11">
        <f>VLOOKUP(Zuweisungen!F70,'SIA 2024'!$C$2:$G$46,3,FALSE)</f>
        <v>8</v>
      </c>
      <c r="Q70" s="12">
        <f>VLOOKUP(Zuweisungen!F70,'SIA 2024'!$C$2:$G$46,5,FALSE)</f>
        <v>10</v>
      </c>
      <c r="R70" s="22">
        <f>VLOOKUP(B70,[2]usage_profiles!$E$2:$AH$109,30,FALSE)</f>
        <v>60.656898705888324</v>
      </c>
      <c r="S70" s="12">
        <f>VLOOKUP(B70,[2]usage_profiles!$E$2:$AH$109,30,FALSE)</f>
        <v>60.656898705888324</v>
      </c>
      <c r="T70" s="22">
        <f>VLOOKUP(B70,[2]usage_profiles!$E$2:$AH$109,30,FALSE)</f>
        <v>60.656898705888324</v>
      </c>
      <c r="U70">
        <f>VLOOKUP(Zuweisungen!D70,'DIN V 18599-10'!$B$2:$H$47,6,FALSE)</f>
        <v>0</v>
      </c>
      <c r="V70">
        <f>VLOOKUP(Zuweisungen!D70,'DIN V 18599-10'!$B$2:$H$47,7,FALSE)</f>
        <v>24</v>
      </c>
      <c r="W70">
        <f>VLOOKUP(Zuweisungen!F70,'SIA 2024'!$C$2:$I$46,6,FALSE)</f>
        <v>0</v>
      </c>
      <c r="X70">
        <f>VLOOKUP(Zuweisungen!F70,'SIA 2024'!$C$2:$I$46,7,FALSE)</f>
        <v>24</v>
      </c>
      <c r="Y70">
        <f>VLOOKUP(B70,[2]usage_profiles!$E$2:$AH$109,3,FALSE)</f>
        <v>2.0849447580562068</v>
      </c>
      <c r="Z70">
        <f>VLOOKUP(B70,[2]usage_profiles!$E$2:$AH$109,4,FALSE)</f>
        <v>13.622961187204432</v>
      </c>
    </row>
    <row r="71" spans="1:26" x14ac:dyDescent="0.25">
      <c r="A71" t="s">
        <v>247</v>
      </c>
      <c r="B71" t="s">
        <v>336</v>
      </c>
      <c r="C71" t="s">
        <v>121</v>
      </c>
      <c r="D71" s="1" t="str">
        <f>VLOOKUP(Zuweisungen!C71,'DIN V 18599-10'!$A$2:$B$47,2,FALSE)</f>
        <v>17</v>
      </c>
      <c r="E71" t="s">
        <v>61</v>
      </c>
      <c r="F71" t="str">
        <f>VLOOKUP(Zuweisungen!E71,'SIA 2024'!$A$2:$C$46,3,FALSE)</f>
        <v>12.4</v>
      </c>
      <c r="G71" s="21" t="str">
        <f>A71</f>
        <v>Beherbergungs- oder Unterbringungsgebäude, Gastronomie- oder Verpflegungsgebäude</v>
      </c>
      <c r="H71" s="21">
        <v>69</v>
      </c>
      <c r="I71" s="9" t="str">
        <f>VLOOKUP(Zuweisungen!D71,'DIN V 18599-10'!$B$2:$F$47,2,FALSE)</f>
        <v>70</v>
      </c>
      <c r="J71" s="9">
        <f>VLOOKUP(Zuweisungen!F71,'SIA 2024'!$C$2:$G$46,2,FALSE)</f>
        <v>70</v>
      </c>
      <c r="K71" s="22">
        <f>[2]usage_profiles!$AG$70</f>
        <v>87.5646277048901</v>
      </c>
      <c r="L71" s="19" t="str">
        <f>VLOOKUP(Zuweisungen!D71,'DIN V 18599-10'!$B$2:$F$47,3,FALSE)</f>
        <v>1</v>
      </c>
      <c r="M71" s="19" t="str">
        <f>VLOOKUP(Zuweisungen!D71,'DIN V 18599-10'!$B$2:$F$47,4,FALSE)</f>
        <v>2</v>
      </c>
      <c r="N71" s="19" t="str">
        <f>VLOOKUP(Zuweisungen!D71,'DIN V 18599-10'!$B$2:$F$47,5,FALSE)</f>
        <v>3</v>
      </c>
      <c r="O71" s="10">
        <f>VLOOKUP(Zuweisungen!F71,'SIA 2024'!$C$2:$G$46,4,FALSE)</f>
        <v>0</v>
      </c>
      <c r="P71" s="11">
        <f>VLOOKUP(Zuweisungen!F71,'SIA 2024'!$C$2:$G$46,3,FALSE)</f>
        <v>0</v>
      </c>
      <c r="Q71" s="12">
        <f>VLOOKUP(Zuweisungen!F71,'SIA 2024'!$C$2:$G$46,5,FALSE)</f>
        <v>0</v>
      </c>
      <c r="R71" s="22">
        <f>S71</f>
        <v>115.09054353382174</v>
      </c>
      <c r="S71" s="12">
        <f>[2]usage_profiles!$AH$70</f>
        <v>115.09054353382174</v>
      </c>
      <c r="T71" s="22">
        <f>S71</f>
        <v>115.09054353382174</v>
      </c>
      <c r="U71">
        <f>VLOOKUP(Zuweisungen!D71,'DIN V 18599-10'!$B$2:$H$47,6,FALSE)</f>
        <v>7</v>
      </c>
      <c r="V71">
        <f>VLOOKUP(Zuweisungen!D71,'DIN V 18599-10'!$B$2:$H$47,7,FALSE)</f>
        <v>18</v>
      </c>
      <c r="W71">
        <f>VLOOKUP(Zuweisungen!F71,'SIA 2024'!$C$2:$I$46,6,FALSE)</f>
        <v>6</v>
      </c>
      <c r="X71">
        <f>VLOOKUP(Zuweisungen!F71,'SIA 2024'!$C$2:$I$46,7,FALSE)</f>
        <v>19</v>
      </c>
      <c r="Y71" s="21">
        <f>[2]usage_profiles!$G$70</f>
        <v>4.6803884818538082</v>
      </c>
      <c r="Z71" s="21">
        <f>[2]usage_profiles!$H$70</f>
        <v>16.524331231896404</v>
      </c>
    </row>
    <row r="72" spans="1:26" x14ac:dyDescent="0.25">
      <c r="A72" t="s">
        <v>246</v>
      </c>
      <c r="B72" t="s">
        <v>335</v>
      </c>
      <c r="C72" t="s">
        <v>131</v>
      </c>
      <c r="D72" s="1" t="str">
        <f>VLOOKUP(Zuweisungen!C72,'DIN V 18599-10'!$A$2:$B$47,2,FALSE)</f>
        <v>22.2</v>
      </c>
      <c r="E72" t="s">
        <v>71</v>
      </c>
      <c r="F72" t="str">
        <f>VLOOKUP(Zuweisungen!E72,'SIA 2024'!$A$2:$C$46,3,FALSE)</f>
        <v>9.1</v>
      </c>
      <c r="G72" t="str">
        <f>VLOOKUP(B72,[1]data_18599_10_default_avarge!$A$2:$M$112,1,FALSE)</f>
        <v>Gebäude für gewerbliche Produktion und Verarbeitung (z.B. Brauerei, Molkerei, Schlachthof)</v>
      </c>
      <c r="H72">
        <f>VLOOKUP(B72,[1]data_18599_10_default_avarge!$A$2:$M$112,2,FALSE)</f>
        <v>78</v>
      </c>
      <c r="I72" s="9" t="str">
        <f>VLOOKUP(Zuweisungen!D72,'DIN V 18599-10'!$B$2:$F$47,2,FALSE)</f>
        <v>100</v>
      </c>
      <c r="J72" s="9">
        <f>VLOOKUP(Zuweisungen!F72,'SIA 2024'!$C$2:$G$46,2,FALSE)</f>
        <v>90</v>
      </c>
      <c r="K72" s="9">
        <f>VLOOKUP(B72,[2]usage_profiles!$E$2:$AH$109,29,FALSE)</f>
        <v>33.944177430365606</v>
      </c>
      <c r="L72" s="19" t="str">
        <f>VLOOKUP(Zuweisungen!D72,'DIN V 18599-10'!$B$2:$F$47,3,FALSE)</f>
        <v>25</v>
      </c>
      <c r="M72" s="19" t="str">
        <f>VLOOKUP(Zuweisungen!D72,'DIN V 18599-10'!$B$2:$F$47,4,FALSE)</f>
        <v>35</v>
      </c>
      <c r="N72" s="19" t="str">
        <f>VLOOKUP(Zuweisungen!D72,'DIN V 18599-10'!$B$2:$F$47,5,FALSE)</f>
        <v>45</v>
      </c>
      <c r="O72" s="10">
        <f>VLOOKUP(Zuweisungen!F72,'SIA 2024'!$C$2:$G$46,4,FALSE)</f>
        <v>5</v>
      </c>
      <c r="P72" s="11">
        <f>VLOOKUP(Zuweisungen!F72,'SIA 2024'!$C$2:$G$46,3,FALSE)</f>
        <v>10</v>
      </c>
      <c r="Q72" s="12">
        <f>VLOOKUP(Zuweisungen!F72,'SIA 2024'!$C$2:$G$46,5,FALSE)</f>
        <v>15</v>
      </c>
      <c r="R72" s="22">
        <f>VLOOKUP(B72,[2]usage_profiles!$E$2:$AH$109,30,FALSE)</f>
        <v>160.2283742202701</v>
      </c>
      <c r="S72" s="12">
        <f>VLOOKUP(B72,[2]usage_profiles!$E$2:$AH$109,30,FALSE)</f>
        <v>160.2283742202701</v>
      </c>
      <c r="T72" s="22">
        <f>VLOOKUP(B72,[2]usage_profiles!$E$2:$AH$109,30,FALSE)</f>
        <v>160.2283742202701</v>
      </c>
      <c r="U72">
        <f>VLOOKUP(Zuweisungen!D72,'DIN V 18599-10'!$B$2:$H$47,6,FALSE)</f>
        <v>7</v>
      </c>
      <c r="V72">
        <f>VLOOKUP(Zuweisungen!D72,'DIN V 18599-10'!$B$2:$H$47,7,FALSE)</f>
        <v>16</v>
      </c>
      <c r="W72">
        <f>VLOOKUP(Zuweisungen!F72,'SIA 2024'!$C$2:$I$46,6,FALSE)</f>
        <v>0</v>
      </c>
      <c r="X72">
        <f>VLOOKUP(Zuweisungen!F72,'SIA 2024'!$C$2:$I$46,7,FALSE)</f>
        <v>24</v>
      </c>
      <c r="Y72">
        <f>VLOOKUP(B72,[2]usage_profiles!$E$2:$AH$109,3,FALSE)</f>
        <v>6.7458597174492869</v>
      </c>
      <c r="Z72">
        <f>VLOOKUP(B72,[2]usage_profiles!$E$2:$AH$109,4,FALSE)</f>
        <v>17.23199686665934</v>
      </c>
    </row>
    <row r="73" spans="1:26" x14ac:dyDescent="0.25">
      <c r="A73" t="s">
        <v>246</v>
      </c>
      <c r="B73" t="s">
        <v>310</v>
      </c>
      <c r="C73" t="s">
        <v>131</v>
      </c>
      <c r="D73" s="1" t="str">
        <f>VLOOKUP(Zuweisungen!C73,'DIN V 18599-10'!$A$2:$B$47,2,FALSE)</f>
        <v>22.2</v>
      </c>
      <c r="E73" t="s">
        <v>71</v>
      </c>
      <c r="F73" t="str">
        <f>VLOOKUP(Zuweisungen!E73,'SIA 2024'!$A$2:$C$46,3,FALSE)</f>
        <v>9.1</v>
      </c>
      <c r="G73" t="str">
        <f>VLOOKUP(B73,[1]data_18599_10_default_avarge!$A$2:$M$112,1,FALSE)</f>
        <v>Gebäude für industrielle Produktion und Verarbeitung (z.B. Chemie, Metall, Textilien, Lebensmittel, Holz)</v>
      </c>
      <c r="H73">
        <f>VLOOKUP(B73,[1]data_18599_10_default_avarge!$A$2:$M$112,2,FALSE)</f>
        <v>79</v>
      </c>
      <c r="I73" s="9" t="str">
        <f>VLOOKUP(Zuweisungen!D73,'DIN V 18599-10'!$B$2:$F$47,2,FALSE)</f>
        <v>100</v>
      </c>
      <c r="J73" s="9">
        <f>VLOOKUP(Zuweisungen!F73,'SIA 2024'!$C$2:$G$46,2,FALSE)</f>
        <v>90</v>
      </c>
      <c r="K73" s="9">
        <f>VLOOKUP(B73,[2]usage_profiles!$E$2:$AH$109,29,FALSE)</f>
        <v>33.944177430365606</v>
      </c>
      <c r="L73" s="19" t="str">
        <f>VLOOKUP(Zuweisungen!D73,'DIN V 18599-10'!$B$2:$F$47,3,FALSE)</f>
        <v>25</v>
      </c>
      <c r="M73" s="19" t="str">
        <f>VLOOKUP(Zuweisungen!D73,'DIN V 18599-10'!$B$2:$F$47,4,FALSE)</f>
        <v>35</v>
      </c>
      <c r="N73" s="19" t="str">
        <f>VLOOKUP(Zuweisungen!D73,'DIN V 18599-10'!$B$2:$F$47,5,FALSE)</f>
        <v>45</v>
      </c>
      <c r="O73" s="10">
        <f>VLOOKUP(Zuweisungen!F73,'SIA 2024'!$C$2:$G$46,4,FALSE)</f>
        <v>5</v>
      </c>
      <c r="P73" s="11">
        <f>VLOOKUP(Zuweisungen!F73,'SIA 2024'!$C$2:$G$46,3,FALSE)</f>
        <v>10</v>
      </c>
      <c r="Q73" s="12">
        <f>VLOOKUP(Zuweisungen!F73,'SIA 2024'!$C$2:$G$46,5,FALSE)</f>
        <v>15</v>
      </c>
      <c r="R73" s="22">
        <f>VLOOKUP(B73,[2]usage_profiles!$E$2:$AH$109,30,FALSE)</f>
        <v>160.2283742202701</v>
      </c>
      <c r="S73" s="12">
        <f>VLOOKUP(B73,[2]usage_profiles!$E$2:$AH$109,30,FALSE)</f>
        <v>160.2283742202701</v>
      </c>
      <c r="T73" s="22">
        <f>VLOOKUP(B73,[2]usage_profiles!$E$2:$AH$109,30,FALSE)</f>
        <v>160.2283742202701</v>
      </c>
      <c r="U73">
        <f>VLOOKUP(Zuweisungen!D73,'DIN V 18599-10'!$B$2:$H$47,6,FALSE)</f>
        <v>7</v>
      </c>
      <c r="V73">
        <f>VLOOKUP(Zuweisungen!D73,'DIN V 18599-10'!$B$2:$H$47,7,FALSE)</f>
        <v>16</v>
      </c>
      <c r="W73">
        <f>VLOOKUP(Zuweisungen!F73,'SIA 2024'!$C$2:$I$46,6,FALSE)</f>
        <v>0</v>
      </c>
      <c r="X73">
        <f>VLOOKUP(Zuweisungen!F73,'SIA 2024'!$C$2:$I$46,7,FALSE)</f>
        <v>24</v>
      </c>
      <c r="Y73">
        <f>VLOOKUP(B73,[2]usage_profiles!$E$2:$AH$109,3,FALSE)</f>
        <v>6.7458597174492869</v>
      </c>
      <c r="Z73">
        <f>VLOOKUP(B73,[2]usage_profiles!$E$2:$AH$109,4,FALSE)</f>
        <v>17.23199686665934</v>
      </c>
    </row>
    <row r="74" spans="1:26" x14ac:dyDescent="0.25">
      <c r="A74" t="s">
        <v>246</v>
      </c>
      <c r="B74" t="s">
        <v>311</v>
      </c>
      <c r="C74" t="s">
        <v>131</v>
      </c>
      <c r="D74" s="1" t="str">
        <f>VLOOKUP(Zuweisungen!C74,'DIN V 18599-10'!$A$2:$B$47,2,FALSE)</f>
        <v>22.2</v>
      </c>
      <c r="E74" t="s">
        <v>71</v>
      </c>
      <c r="F74" t="str">
        <f>VLOOKUP(Zuweisungen!E74,'SIA 2024'!$A$2:$C$46,3,FALSE)</f>
        <v>9.1</v>
      </c>
      <c r="G74" t="str">
        <f>VLOOKUP(B74,[1]data_18599_10_default_avarge!$A$2:$M$112,1,FALSE)</f>
        <v>Werkstattgebäude allgemein (z.B. von Handwerksbetrieben wie Klempner, Schlosser, Schreiner)</v>
      </c>
      <c r="H74">
        <f>VLOOKUP(B74,[1]data_18599_10_default_avarge!$A$2:$M$112,2,FALSE)</f>
        <v>80</v>
      </c>
      <c r="I74" s="9" t="str">
        <f>VLOOKUP(Zuweisungen!D74,'DIN V 18599-10'!$B$2:$F$47,2,FALSE)</f>
        <v>100</v>
      </c>
      <c r="J74" s="9">
        <f>VLOOKUP(Zuweisungen!F74,'SIA 2024'!$C$2:$G$46,2,FALSE)</f>
        <v>90</v>
      </c>
      <c r="K74" s="9">
        <f>VLOOKUP(B74,[2]usage_profiles!$E$2:$AH$109,29,FALSE)</f>
        <v>33.054081850186989</v>
      </c>
      <c r="L74" s="19" t="str">
        <f>VLOOKUP(Zuweisungen!D74,'DIN V 18599-10'!$B$2:$F$47,3,FALSE)</f>
        <v>25</v>
      </c>
      <c r="M74" s="19" t="str">
        <f>VLOOKUP(Zuweisungen!D74,'DIN V 18599-10'!$B$2:$F$47,4,FALSE)</f>
        <v>35</v>
      </c>
      <c r="N74" s="19" t="str">
        <f>VLOOKUP(Zuweisungen!D74,'DIN V 18599-10'!$B$2:$F$47,5,FALSE)</f>
        <v>45</v>
      </c>
      <c r="O74" s="10">
        <f>VLOOKUP(Zuweisungen!F74,'SIA 2024'!$C$2:$G$46,4,FALSE)</f>
        <v>5</v>
      </c>
      <c r="P74" s="11">
        <f>VLOOKUP(Zuweisungen!F74,'SIA 2024'!$C$2:$G$46,3,FALSE)</f>
        <v>10</v>
      </c>
      <c r="Q74" s="12">
        <f>VLOOKUP(Zuweisungen!F74,'SIA 2024'!$C$2:$G$46,5,FALSE)</f>
        <v>15</v>
      </c>
      <c r="R74" s="22">
        <f>VLOOKUP(B74,[2]usage_profiles!$E$2:$AH$109,30,FALSE)</f>
        <v>138.14812130695236</v>
      </c>
      <c r="S74" s="12">
        <f>VLOOKUP(B74,[2]usage_profiles!$E$2:$AH$109,30,FALSE)</f>
        <v>138.14812130695236</v>
      </c>
      <c r="T74" s="22">
        <f>VLOOKUP(B74,[2]usage_profiles!$E$2:$AH$109,30,FALSE)</f>
        <v>138.14812130695236</v>
      </c>
      <c r="U74">
        <f>VLOOKUP(Zuweisungen!D74,'DIN V 18599-10'!$B$2:$H$47,6,FALSE)</f>
        <v>7</v>
      </c>
      <c r="V74">
        <f>VLOOKUP(Zuweisungen!D74,'DIN V 18599-10'!$B$2:$H$47,7,FALSE)</f>
        <v>16</v>
      </c>
      <c r="W74">
        <f>VLOOKUP(Zuweisungen!F74,'SIA 2024'!$C$2:$I$46,6,FALSE)</f>
        <v>0</v>
      </c>
      <c r="X74">
        <f>VLOOKUP(Zuweisungen!F74,'SIA 2024'!$C$2:$I$46,7,FALSE)</f>
        <v>24</v>
      </c>
      <c r="Y74">
        <f>VLOOKUP(B74,[2]usage_profiles!$E$2:$AH$109,3,FALSE)</f>
        <v>6.6720124878213083</v>
      </c>
      <c r="Z74">
        <f>VLOOKUP(B74,[2]usage_profiles!$E$2:$AH$109,4,FALSE)</f>
        <v>17.533494225924443</v>
      </c>
    </row>
    <row r="75" spans="1:26" x14ac:dyDescent="0.25">
      <c r="A75" t="s">
        <v>246</v>
      </c>
      <c r="B75" t="s">
        <v>312</v>
      </c>
      <c r="C75" t="s">
        <v>131</v>
      </c>
      <c r="D75" s="1" t="str">
        <f>VLOOKUP(Zuweisungen!C75,'DIN V 18599-10'!$A$2:$B$47,2,FALSE)</f>
        <v>22.2</v>
      </c>
      <c r="E75" t="s">
        <v>71</v>
      </c>
      <c r="F75" t="str">
        <f>VLOOKUP(Zuweisungen!E75,'SIA 2024'!$A$2:$C$46,3,FALSE)</f>
        <v>9.1</v>
      </c>
      <c r="G75" t="str">
        <f>VLOOKUP(B75,[1]data_18599_10_default_avarge!$A$2:$M$112,1,FALSE)</f>
        <v>Werkstattgebäude zur Wartung, Instandsetzung, Reparatur (von z.B. Kfz)</v>
      </c>
      <c r="H75">
        <f>VLOOKUP(B75,[1]data_18599_10_default_avarge!$A$2:$M$112,2,FALSE)</f>
        <v>81</v>
      </c>
      <c r="I75" s="9" t="str">
        <f>VLOOKUP(Zuweisungen!D75,'DIN V 18599-10'!$B$2:$F$47,2,FALSE)</f>
        <v>100</v>
      </c>
      <c r="J75" s="9">
        <f>VLOOKUP(Zuweisungen!F75,'SIA 2024'!$C$2:$G$46,2,FALSE)</f>
        <v>90</v>
      </c>
      <c r="K75" s="9">
        <f>VLOOKUP(B75,[2]usage_profiles!$E$2:$AH$109,29,FALSE)</f>
        <v>33.054081850186989</v>
      </c>
      <c r="L75" s="19" t="str">
        <f>VLOOKUP(Zuweisungen!D75,'DIN V 18599-10'!$B$2:$F$47,3,FALSE)</f>
        <v>25</v>
      </c>
      <c r="M75" s="19" t="str">
        <f>VLOOKUP(Zuweisungen!D75,'DIN V 18599-10'!$B$2:$F$47,4,FALSE)</f>
        <v>35</v>
      </c>
      <c r="N75" s="19" t="str">
        <f>VLOOKUP(Zuweisungen!D75,'DIN V 18599-10'!$B$2:$F$47,5,FALSE)</f>
        <v>45</v>
      </c>
      <c r="O75" s="10">
        <f>VLOOKUP(Zuweisungen!F75,'SIA 2024'!$C$2:$G$46,4,FALSE)</f>
        <v>5</v>
      </c>
      <c r="P75" s="11">
        <f>VLOOKUP(Zuweisungen!F75,'SIA 2024'!$C$2:$G$46,3,FALSE)</f>
        <v>10</v>
      </c>
      <c r="Q75" s="12">
        <f>VLOOKUP(Zuweisungen!F75,'SIA 2024'!$C$2:$G$46,5,FALSE)</f>
        <v>15</v>
      </c>
      <c r="R75" s="22">
        <f>VLOOKUP(B75,[2]usage_profiles!$E$2:$AH$109,30,FALSE)</f>
        <v>138.14812130695236</v>
      </c>
      <c r="S75" s="12">
        <f>VLOOKUP(B75,[2]usage_profiles!$E$2:$AH$109,30,FALSE)</f>
        <v>138.14812130695236</v>
      </c>
      <c r="T75" s="22">
        <f>VLOOKUP(B75,[2]usage_profiles!$E$2:$AH$109,30,FALSE)</f>
        <v>138.14812130695236</v>
      </c>
      <c r="U75">
        <f>VLOOKUP(Zuweisungen!D75,'DIN V 18599-10'!$B$2:$H$47,6,FALSE)</f>
        <v>7</v>
      </c>
      <c r="V75">
        <f>VLOOKUP(Zuweisungen!D75,'DIN V 18599-10'!$B$2:$H$47,7,FALSE)</f>
        <v>16</v>
      </c>
      <c r="W75">
        <f>VLOOKUP(Zuweisungen!F75,'SIA 2024'!$C$2:$I$46,6,FALSE)</f>
        <v>0</v>
      </c>
      <c r="X75">
        <f>VLOOKUP(Zuweisungen!F75,'SIA 2024'!$C$2:$I$46,7,FALSE)</f>
        <v>24</v>
      </c>
      <c r="Y75">
        <f>VLOOKUP(B75,[2]usage_profiles!$E$2:$AH$109,3,FALSE)</f>
        <v>6.6720124878213083</v>
      </c>
      <c r="Z75">
        <f>VLOOKUP(B75,[2]usage_profiles!$E$2:$AH$109,4,FALSE)</f>
        <v>17.533494225924443</v>
      </c>
    </row>
    <row r="76" spans="1:26" x14ac:dyDescent="0.25">
      <c r="A76" t="s">
        <v>246</v>
      </c>
      <c r="B76" t="s">
        <v>313</v>
      </c>
      <c r="C76" t="s">
        <v>329</v>
      </c>
      <c r="D76" s="1" t="str">
        <f>VLOOKUP(Zuweisungen!C76,'DIN V 18599-10'!$A$2:$B$47,2,FALSE)</f>
        <v>41</v>
      </c>
      <c r="E76" t="s">
        <v>73</v>
      </c>
      <c r="F76" t="str">
        <f>VLOOKUP(Zuweisungen!E76,'SIA 2024'!$A$2:$C$46,3,FALSE)</f>
        <v>10.1</v>
      </c>
      <c r="G76" t="str">
        <f>VLOOKUP(B76,[1]data_18599_10_default_avarge!$A$2:$M$112,1,FALSE)</f>
        <v>Logistikimmobilie mit Toren bzw. Rampen</v>
      </c>
      <c r="H76">
        <f>VLOOKUP(B76,[1]data_18599_10_default_avarge!$A$2:$M$112,2,FALSE)</f>
        <v>82</v>
      </c>
      <c r="I76" s="9" t="str">
        <f>VLOOKUP(Zuweisungen!D76,'DIN V 18599-10'!$B$2:$F$47,2,FALSE)</f>
        <v>70</v>
      </c>
      <c r="J76" s="9">
        <f>VLOOKUP(Zuweisungen!F76,'SIA 2024'!$C$2:$G$46,2,FALSE)</f>
        <v>90</v>
      </c>
      <c r="K76" s="9">
        <f>VLOOKUP(B76,[2]usage_profiles!$E$2:$AH$109,29,FALSE)</f>
        <v>7.9120725976340962</v>
      </c>
      <c r="L76" s="19" t="str">
        <f>VLOOKUP(Zuweisungen!D76,'DIN V 18599-10'!$B$2:$F$47,3,FALSE)</f>
        <v>0</v>
      </c>
      <c r="M76" s="19" t="str">
        <f>VLOOKUP(Zuweisungen!D76,'DIN V 18599-10'!$B$2:$F$47,4,FALSE)</f>
        <v>0</v>
      </c>
      <c r="N76" s="19" t="str">
        <f>VLOOKUP(Zuweisungen!D76,'DIN V 18599-10'!$B$2:$F$47,5,FALSE)</f>
        <v>0</v>
      </c>
      <c r="O76" s="10">
        <f>VLOOKUP(Zuweisungen!F76,'SIA 2024'!$C$2:$G$46,4,FALSE)</f>
        <v>0</v>
      </c>
      <c r="P76" s="11">
        <f>VLOOKUP(Zuweisungen!F76,'SIA 2024'!$C$2:$G$46,3,FALSE)</f>
        <v>0</v>
      </c>
      <c r="Q76" s="12">
        <f>VLOOKUP(Zuweisungen!F76,'SIA 2024'!$C$2:$G$46,5,FALSE)</f>
        <v>0</v>
      </c>
      <c r="R76" s="22">
        <f>VLOOKUP(B76,[2]usage_profiles!$E$2:$AH$109,30,FALSE)</f>
        <v>20.636914600550966</v>
      </c>
      <c r="S76" s="12">
        <f>VLOOKUP(B76,[2]usage_profiles!$E$2:$AH$109,30,FALSE)</f>
        <v>20.636914600550966</v>
      </c>
      <c r="T76" s="22">
        <f>VLOOKUP(B76,[2]usage_profiles!$E$2:$AH$109,30,FALSE)</f>
        <v>20.636914600550966</v>
      </c>
      <c r="U76">
        <f>VLOOKUP(Zuweisungen!D76,'DIN V 18599-10'!$B$2:$H$47,6,FALSE)</f>
        <v>0</v>
      </c>
      <c r="V76">
        <f>VLOOKUP(Zuweisungen!D76,'DIN V 18599-10'!$B$2:$H$47,7,FALSE)</f>
        <v>24</v>
      </c>
      <c r="W76">
        <f>VLOOKUP(Zuweisungen!F76,'SIA 2024'!$C$2:$I$46,6,FALSE)</f>
        <v>0</v>
      </c>
      <c r="X76">
        <f>VLOOKUP(Zuweisungen!F76,'SIA 2024'!$C$2:$I$46,7,FALSE)</f>
        <v>24</v>
      </c>
      <c r="Y76">
        <f>VLOOKUP(B76,[2]usage_profiles!$E$2:$AH$109,3,FALSE)</f>
        <v>2.4412736995624704</v>
      </c>
      <c r="Z76">
        <f>VLOOKUP(B76,[2]usage_profiles!$E$2:$AH$109,4,FALSE)</f>
        <v>21.812980068060284</v>
      </c>
    </row>
    <row r="77" spans="1:26" x14ac:dyDescent="0.25">
      <c r="A77" t="s">
        <v>246</v>
      </c>
      <c r="B77" t="s">
        <v>314</v>
      </c>
      <c r="C77" t="s">
        <v>329</v>
      </c>
      <c r="D77" s="1" t="str">
        <f>VLOOKUP(Zuweisungen!C77,'DIN V 18599-10'!$A$2:$B$47,2,FALSE)</f>
        <v>41</v>
      </c>
      <c r="E77" t="s">
        <v>73</v>
      </c>
      <c r="F77" t="str">
        <f>VLOOKUP(Zuweisungen!E77,'SIA 2024'!$A$2:$C$46,3,FALSE)</f>
        <v>10.1</v>
      </c>
      <c r="G77" t="str">
        <f>VLOOKUP(B77,[1]data_18599_10_default_avarge!$A$2:$M$112,1,FALSE)</f>
        <v>Sonstiges Gebäude für Lagerung</v>
      </c>
      <c r="H77">
        <f>VLOOKUP(B77,[1]data_18599_10_default_avarge!$A$2:$M$112,2,FALSE)</f>
        <v>83</v>
      </c>
      <c r="I77" s="9" t="str">
        <f>VLOOKUP(Zuweisungen!D77,'DIN V 18599-10'!$B$2:$F$47,2,FALSE)</f>
        <v>70</v>
      </c>
      <c r="J77" s="9">
        <f>VLOOKUP(Zuweisungen!F77,'SIA 2024'!$C$2:$G$46,2,FALSE)</f>
        <v>90</v>
      </c>
      <c r="K77" s="9">
        <f>VLOOKUP(B77,[2]usage_profiles!$E$2:$AH$109,29,FALSE)</f>
        <v>7.9120725976340962</v>
      </c>
      <c r="L77" s="19" t="str">
        <f>VLOOKUP(Zuweisungen!D77,'DIN V 18599-10'!$B$2:$F$47,3,FALSE)</f>
        <v>0</v>
      </c>
      <c r="M77" s="19" t="str">
        <f>VLOOKUP(Zuweisungen!D77,'DIN V 18599-10'!$B$2:$F$47,4,FALSE)</f>
        <v>0</v>
      </c>
      <c r="N77" s="19" t="str">
        <f>VLOOKUP(Zuweisungen!D77,'DIN V 18599-10'!$B$2:$F$47,5,FALSE)</f>
        <v>0</v>
      </c>
      <c r="O77" s="10">
        <f>VLOOKUP(Zuweisungen!F77,'SIA 2024'!$C$2:$G$46,4,FALSE)</f>
        <v>0</v>
      </c>
      <c r="P77" s="11">
        <f>VLOOKUP(Zuweisungen!F77,'SIA 2024'!$C$2:$G$46,3,FALSE)</f>
        <v>0</v>
      </c>
      <c r="Q77" s="12">
        <f>VLOOKUP(Zuweisungen!F77,'SIA 2024'!$C$2:$G$46,5,FALSE)</f>
        <v>0</v>
      </c>
      <c r="R77" s="22">
        <f>VLOOKUP(B77,[2]usage_profiles!$E$2:$AH$109,30,FALSE)</f>
        <v>20.636914600550966</v>
      </c>
      <c r="S77" s="12">
        <f>VLOOKUP(B77,[2]usage_profiles!$E$2:$AH$109,30,FALSE)</f>
        <v>20.636914600550966</v>
      </c>
      <c r="T77" s="22">
        <f>VLOOKUP(B77,[2]usage_profiles!$E$2:$AH$109,30,FALSE)</f>
        <v>20.636914600550966</v>
      </c>
      <c r="U77">
        <f>VLOOKUP(Zuweisungen!D77,'DIN V 18599-10'!$B$2:$H$47,6,FALSE)</f>
        <v>0</v>
      </c>
      <c r="V77">
        <f>VLOOKUP(Zuweisungen!D77,'DIN V 18599-10'!$B$2:$H$47,7,FALSE)</f>
        <v>24</v>
      </c>
      <c r="W77">
        <f>VLOOKUP(Zuweisungen!F77,'SIA 2024'!$C$2:$I$46,6,FALSE)</f>
        <v>0</v>
      </c>
      <c r="X77">
        <f>VLOOKUP(Zuweisungen!F77,'SIA 2024'!$C$2:$I$46,7,FALSE)</f>
        <v>24</v>
      </c>
      <c r="Y77">
        <f>VLOOKUP(B77,[2]usage_profiles!$E$2:$AH$109,3,FALSE)</f>
        <v>2.4412736995624704</v>
      </c>
      <c r="Z77">
        <f>VLOOKUP(B77,[2]usage_profiles!$E$2:$AH$109,4,FALSE)</f>
        <v>21.812980068060284</v>
      </c>
    </row>
    <row r="78" spans="1:26" x14ac:dyDescent="0.25">
      <c r="A78" t="s">
        <v>246</v>
      </c>
      <c r="B78" t="s">
        <v>315</v>
      </c>
      <c r="C78" t="s">
        <v>94</v>
      </c>
      <c r="D78" s="1" t="str">
        <f>VLOOKUP(Zuweisungen!C78,'DIN V 18599-10'!$A$2:$B$47,2,FALSE)</f>
        <v>3</v>
      </c>
      <c r="E78" t="s">
        <v>49</v>
      </c>
      <c r="F78" t="str">
        <f>VLOOKUP(Zuweisungen!E78,'SIA 2024'!$A$2:$C$46,3,FALSE)</f>
        <v>3.2</v>
      </c>
      <c r="G78" t="str">
        <f>VLOOKUP(B78,[1]data_18599_10_default_avarge!$A$2:$M$112,1,FALSE)</f>
        <v>Feuerwehr, Rettungswache</v>
      </c>
      <c r="H78">
        <f>VLOOKUP(B78,[1]data_18599_10_default_avarge!$A$2:$M$112,2,FALSE)</f>
        <v>84</v>
      </c>
      <c r="I78" s="9">
        <f>VLOOKUP(Zuweisungen!D78,'DIN V 18599-10'!$B$2:$F$47,2,FALSE)</f>
        <v>70</v>
      </c>
      <c r="J78" s="9">
        <f>VLOOKUP(Zuweisungen!F78,'SIA 2024'!$C$2:$G$46,2,FALSE)</f>
        <v>70</v>
      </c>
      <c r="K78" s="9">
        <f>VLOOKUP(B78,[2]usage_profiles!$E$2:$AH$109,29,FALSE)</f>
        <v>31.168857790479944</v>
      </c>
      <c r="L78" s="19" t="str">
        <f>VLOOKUP(Zuweisungen!D78,'DIN V 18599-10'!$B$2:$F$47,3,FALSE)</f>
        <v>4.2</v>
      </c>
      <c r="M78" s="19" t="str">
        <f>VLOOKUP(Zuweisungen!D78,'DIN V 18599-10'!$B$2:$F$47,4,FALSE)</f>
        <v>10</v>
      </c>
      <c r="N78" s="19" t="str">
        <f>VLOOKUP(Zuweisungen!D78,'DIN V 18599-10'!$B$2:$F$47,5,FALSE)</f>
        <v>18.8</v>
      </c>
      <c r="O78" s="10">
        <f>VLOOKUP(Zuweisungen!F78,'SIA 2024'!$C$2:$G$46,4,FALSE)</f>
        <v>4</v>
      </c>
      <c r="P78" s="11">
        <f>VLOOKUP(Zuweisungen!F78,'SIA 2024'!$C$2:$G$46,3,FALSE)</f>
        <v>10</v>
      </c>
      <c r="Q78" s="12">
        <f>VLOOKUP(Zuweisungen!F78,'SIA 2024'!$C$2:$G$46,5,FALSE)</f>
        <v>19</v>
      </c>
      <c r="R78" s="22">
        <f>VLOOKUP(B78,[2]usage_profiles!$E$2:$AH$109,30,FALSE)</f>
        <v>39.979225386813837</v>
      </c>
      <c r="S78" s="12">
        <f>VLOOKUP(B78,[2]usage_profiles!$E$2:$AH$109,30,FALSE)</f>
        <v>39.979225386813837</v>
      </c>
      <c r="T78" s="22">
        <f>VLOOKUP(B78,[2]usage_profiles!$E$2:$AH$109,30,FALSE)</f>
        <v>39.979225386813837</v>
      </c>
      <c r="U78">
        <f>VLOOKUP(Zuweisungen!D78,'DIN V 18599-10'!$B$2:$H$47,6,FALSE)</f>
        <v>7</v>
      </c>
      <c r="V78">
        <f>VLOOKUP(Zuweisungen!D78,'DIN V 18599-10'!$B$2:$H$47,7,FALSE)</f>
        <v>18</v>
      </c>
      <c r="W78">
        <f>VLOOKUP(Zuweisungen!F78,'SIA 2024'!$C$2:$I$46,6,FALSE)</f>
        <v>7</v>
      </c>
      <c r="X78">
        <f>VLOOKUP(Zuweisungen!F78,'SIA 2024'!$C$2:$I$46,7,FALSE)</f>
        <v>18</v>
      </c>
      <c r="Y78">
        <f>VLOOKUP(B78,[2]usage_profiles!$E$2:$AH$109,3,FALSE)</f>
        <v>6.3702177983640498</v>
      </c>
      <c r="Z78">
        <f>VLOOKUP(B78,[2]usage_profiles!$E$2:$AH$109,4,FALSE)</f>
        <v>18.369350546959694</v>
      </c>
    </row>
    <row r="79" spans="1:26" x14ac:dyDescent="0.25">
      <c r="A79" t="s">
        <v>246</v>
      </c>
      <c r="B79" t="s">
        <v>316</v>
      </c>
      <c r="C79" t="s">
        <v>329</v>
      </c>
      <c r="D79" s="1" t="str">
        <f>VLOOKUP(Zuweisungen!C79,'DIN V 18599-10'!$A$2:$B$47,2,FALSE)</f>
        <v>41</v>
      </c>
      <c r="E79" t="s">
        <v>73</v>
      </c>
      <c r="F79" t="str">
        <f>VLOOKUP(Zuweisungen!E79,'SIA 2024'!$A$2:$C$46,3,FALSE)</f>
        <v>10.1</v>
      </c>
      <c r="G79" t="str">
        <f>VLOOKUP(B79,[1]data_18599_10_default_avarge!$A$2:$M$112,1,FALSE)</f>
        <v>Straßenmeisterei, Bauhof u.ä.</v>
      </c>
      <c r="H79">
        <f>VLOOKUP(B79,[1]data_18599_10_default_avarge!$A$2:$M$112,2,FALSE)</f>
        <v>85</v>
      </c>
      <c r="I79" s="9" t="str">
        <f>VLOOKUP(Zuweisungen!D79,'DIN V 18599-10'!$B$2:$F$47,2,FALSE)</f>
        <v>70</v>
      </c>
      <c r="J79" s="9">
        <f>VLOOKUP(Zuweisungen!F79,'SIA 2024'!$C$2:$G$46,2,FALSE)</f>
        <v>90</v>
      </c>
      <c r="K79" s="9">
        <f>VLOOKUP(B79,[2]usage_profiles!$E$2:$AH$109,29,FALSE)</f>
        <v>33.054081850186989</v>
      </c>
      <c r="L79" s="19" t="str">
        <f>VLOOKUP(Zuweisungen!D79,'DIN V 18599-10'!$B$2:$F$47,3,FALSE)</f>
        <v>0</v>
      </c>
      <c r="M79" s="19" t="str">
        <f>VLOOKUP(Zuweisungen!D79,'DIN V 18599-10'!$B$2:$F$47,4,FALSE)</f>
        <v>0</v>
      </c>
      <c r="N79" s="19" t="str">
        <f>VLOOKUP(Zuweisungen!D79,'DIN V 18599-10'!$B$2:$F$47,5,FALSE)</f>
        <v>0</v>
      </c>
      <c r="O79" s="10">
        <f>VLOOKUP(Zuweisungen!F79,'SIA 2024'!$C$2:$G$46,4,FALSE)</f>
        <v>0</v>
      </c>
      <c r="P79" s="11">
        <f>VLOOKUP(Zuweisungen!F79,'SIA 2024'!$C$2:$G$46,3,FALSE)</f>
        <v>0</v>
      </c>
      <c r="Q79" s="12">
        <f>VLOOKUP(Zuweisungen!F79,'SIA 2024'!$C$2:$G$46,5,FALSE)</f>
        <v>0</v>
      </c>
      <c r="R79" s="22">
        <f>VLOOKUP(B79,[2]usage_profiles!$E$2:$AH$109,30,FALSE)</f>
        <v>138.14812130695236</v>
      </c>
      <c r="S79" s="12">
        <f>VLOOKUP(B79,[2]usage_profiles!$E$2:$AH$109,30,FALSE)</f>
        <v>138.14812130695236</v>
      </c>
      <c r="T79" s="22">
        <f>VLOOKUP(B79,[2]usage_profiles!$E$2:$AH$109,30,FALSE)</f>
        <v>138.14812130695236</v>
      </c>
      <c r="U79">
        <f>VLOOKUP(Zuweisungen!D79,'DIN V 18599-10'!$B$2:$H$47,6,FALSE)</f>
        <v>0</v>
      </c>
      <c r="V79">
        <f>VLOOKUP(Zuweisungen!D79,'DIN V 18599-10'!$B$2:$H$47,7,FALSE)</f>
        <v>24</v>
      </c>
      <c r="W79">
        <f>VLOOKUP(Zuweisungen!F79,'SIA 2024'!$C$2:$I$46,6,FALSE)</f>
        <v>0</v>
      </c>
      <c r="X79">
        <f>VLOOKUP(Zuweisungen!F79,'SIA 2024'!$C$2:$I$46,7,FALSE)</f>
        <v>24</v>
      </c>
      <c r="Y79">
        <f>VLOOKUP(B79,[2]usage_profiles!$E$2:$AH$109,3,FALSE)</f>
        <v>6.6720124878213083</v>
      </c>
      <c r="Z79">
        <f>VLOOKUP(B79,[2]usage_profiles!$E$2:$AH$109,4,FALSE)</f>
        <v>17.533494225924443</v>
      </c>
    </row>
    <row r="80" spans="1:26" x14ac:dyDescent="0.25">
      <c r="A80" t="s">
        <v>246</v>
      </c>
      <c r="B80" t="s">
        <v>317</v>
      </c>
      <c r="C80" t="s">
        <v>151</v>
      </c>
      <c r="D80" s="1" t="str">
        <f>VLOOKUP(Zuweisungen!C80,'DIN V 18599-10'!$A$2:$B$47,2,FALSE)</f>
        <v>32</v>
      </c>
      <c r="E80" t="s">
        <v>85</v>
      </c>
      <c r="F80" t="str">
        <f>VLOOKUP(Zuweisungen!E80,'SIA 2024'!$A$2:$C$46,3,FALSE)</f>
        <v>12.9</v>
      </c>
      <c r="G80" t="str">
        <f>VLOOKUP(B80,[1]data_18599_10_default_avarge!$A$2:$M$112,1,FALSE)</f>
        <v>Fuhrpark</v>
      </c>
      <c r="H80">
        <f>VLOOKUP(B80,[1]data_18599_10_default_avarge!$A$2:$M$112,2,FALSE)</f>
        <v>86</v>
      </c>
      <c r="I80" s="9" t="str">
        <f>VLOOKUP(Zuweisungen!D80,'DIN V 18599-10'!$B$2:$F$47,2,FALSE)</f>
        <v>70</v>
      </c>
      <c r="J80" s="9">
        <f>VLOOKUP(Zuweisungen!F80,'SIA 2024'!$C$2:$G$46,2,FALSE)</f>
        <v>70</v>
      </c>
      <c r="K80" s="9">
        <f>VLOOKUP(B80,[2]usage_profiles!$E$2:$AH$109,29,FALSE)</f>
        <v>33.054081850186989</v>
      </c>
      <c r="L80" s="19" t="str">
        <f>VLOOKUP(Zuweisungen!D80,'DIN V 18599-10'!$B$2:$F$47,3,FALSE)</f>
        <v>0</v>
      </c>
      <c r="M80" s="19" t="str">
        <f>VLOOKUP(Zuweisungen!D80,'DIN V 18599-10'!$B$2:$F$47,4,FALSE)</f>
        <v>0</v>
      </c>
      <c r="N80" s="19" t="str">
        <f>VLOOKUP(Zuweisungen!D80,'DIN V 18599-10'!$B$2:$F$47,5,FALSE)</f>
        <v>0</v>
      </c>
      <c r="O80" s="10" t="str">
        <f>VLOOKUP(Zuweisungen!F80,'SIA 2024'!$C$2:$G$46,4,FALSE)</f>
        <v>0.5</v>
      </c>
      <c r="P80" s="11">
        <f>VLOOKUP(Zuweisungen!F80,'SIA 2024'!$C$2:$G$46,3,FALSE)</f>
        <v>1</v>
      </c>
      <c r="Q80" s="12">
        <f>VLOOKUP(Zuweisungen!F80,'SIA 2024'!$C$2:$G$46,5,FALSE)</f>
        <v>2</v>
      </c>
      <c r="R80" s="22">
        <f>VLOOKUP(B80,[2]usage_profiles!$E$2:$AH$109,30,FALSE)</f>
        <v>138.14812130695236</v>
      </c>
      <c r="S80" s="12">
        <f>VLOOKUP(B80,[2]usage_profiles!$E$2:$AH$109,30,FALSE)</f>
        <v>138.14812130695236</v>
      </c>
      <c r="T80" s="22">
        <f>VLOOKUP(B80,[2]usage_profiles!$E$2:$AH$109,30,FALSE)</f>
        <v>138.14812130695236</v>
      </c>
      <c r="U80">
        <f>VLOOKUP(Zuweisungen!D80,'DIN V 18599-10'!$B$2:$H$47,6,FALSE)</f>
        <v>7</v>
      </c>
      <c r="V80">
        <f>VLOOKUP(Zuweisungen!D80,'DIN V 18599-10'!$B$2:$H$47,7,FALSE)</f>
        <v>18</v>
      </c>
      <c r="W80">
        <f>VLOOKUP(Zuweisungen!F80,'SIA 2024'!$C$2:$I$46,6,FALSE)</f>
        <v>7</v>
      </c>
      <c r="X80">
        <f>VLOOKUP(Zuweisungen!F80,'SIA 2024'!$C$2:$I$46,7,FALSE)</f>
        <v>18</v>
      </c>
      <c r="Y80">
        <f>VLOOKUP(B80,[2]usage_profiles!$E$2:$AH$109,3,FALSE)</f>
        <v>6.6720124878213083</v>
      </c>
      <c r="Z80">
        <f>VLOOKUP(B80,[2]usage_profiles!$E$2:$AH$109,4,FALSE)</f>
        <v>17.533494225924443</v>
      </c>
    </row>
    <row r="81" spans="1:26" x14ac:dyDescent="0.25">
      <c r="A81" t="s">
        <v>246</v>
      </c>
      <c r="B81" t="s">
        <v>318</v>
      </c>
      <c r="C81" t="s">
        <v>117</v>
      </c>
      <c r="D81" s="1" t="str">
        <f>VLOOKUP(Zuweisungen!C81,'DIN V 18599-10'!$A$2:$B$47,2,FALSE)</f>
        <v>15</v>
      </c>
      <c r="E81" t="s">
        <v>224</v>
      </c>
      <c r="F81" t="str">
        <f>VLOOKUP(Zuweisungen!E81,'SIA 2024'!$A$2:$C$46,3,FALSE)</f>
        <v>12.5</v>
      </c>
      <c r="G81" t="str">
        <f>VLOOKUP(B81,[1]data_18599_10_default_avarge!$A$2:$M$112,1,FALSE)</f>
        <v>zentrales Wirtschaftsgebäude (z.B. Zentralküche oder -wäscherei in Krankenhaus)</v>
      </c>
      <c r="H81">
        <f>VLOOKUP(B81,[1]data_18599_10_default_avarge!$A$2:$M$112,2,FALSE)</f>
        <v>87</v>
      </c>
      <c r="I81" s="9" t="str">
        <f>VLOOKUP(Zuweisungen!D81,'DIN V 18599-10'!$B$2:$F$47,2,FALSE)</f>
        <v>80</v>
      </c>
      <c r="J81" s="9">
        <f>VLOOKUP(Zuweisungen!F81,'SIA 2024'!$C$2:$G$46,2,FALSE)</f>
        <v>70</v>
      </c>
      <c r="K81" s="9">
        <f>VLOOKUP(B81,[2]usage_profiles!$E$2:$AH$109,29,FALSE)</f>
        <v>33.054081850186989</v>
      </c>
      <c r="L81" s="19" t="str">
        <f>VLOOKUP(Zuweisungen!D81,'DIN V 18599-10'!$B$2:$F$47,3,FALSE)</f>
        <v>20</v>
      </c>
      <c r="M81" s="19" t="str">
        <f>VLOOKUP(Zuweisungen!D81,'DIN V 18599-10'!$B$2:$F$47,4,FALSE)</f>
        <v>30</v>
      </c>
      <c r="N81" s="19" t="str">
        <f>VLOOKUP(Zuweisungen!D81,'DIN V 18599-10'!$B$2:$F$47,5,FALSE)</f>
        <v>40</v>
      </c>
      <c r="O81" s="10">
        <f>VLOOKUP(Zuweisungen!F81,'SIA 2024'!$C$2:$G$46,4,FALSE)</f>
        <v>30</v>
      </c>
      <c r="P81" s="11">
        <f>VLOOKUP(Zuweisungen!F81,'SIA 2024'!$C$2:$G$46,3,FALSE)</f>
        <v>40</v>
      </c>
      <c r="Q81" s="12">
        <f>VLOOKUP(Zuweisungen!F81,'SIA 2024'!$C$2:$G$46,5,FALSE)</f>
        <v>50</v>
      </c>
      <c r="R81" s="22">
        <f>VLOOKUP(B81,[2]usage_profiles!$E$2:$AH$109,30,FALSE)</f>
        <v>138.14812130695236</v>
      </c>
      <c r="S81" s="12">
        <f>VLOOKUP(B81,[2]usage_profiles!$E$2:$AH$109,30,FALSE)</f>
        <v>138.14812130695236</v>
      </c>
      <c r="T81" s="22">
        <f>VLOOKUP(B81,[2]usage_profiles!$E$2:$AH$109,30,FALSE)</f>
        <v>138.14812130695236</v>
      </c>
      <c r="U81">
        <f>VLOOKUP(Zuweisungen!D81,'DIN V 18599-10'!$B$2:$H$47,6,FALSE)</f>
        <v>10</v>
      </c>
      <c r="V81">
        <f>VLOOKUP(Zuweisungen!D81,'DIN V 18599-10'!$B$2:$H$47,7,FALSE)</f>
        <v>23</v>
      </c>
      <c r="W81">
        <f>VLOOKUP(Zuweisungen!F81,'SIA 2024'!$C$2:$I$46,6,FALSE)</f>
        <v>7</v>
      </c>
      <c r="X81">
        <f>VLOOKUP(Zuweisungen!F81,'SIA 2024'!$C$2:$I$46,7,FALSE)</f>
        <v>18</v>
      </c>
      <c r="Y81">
        <f>VLOOKUP(B81,[2]usage_profiles!$E$2:$AH$109,3,FALSE)</f>
        <v>6.6720124878213083</v>
      </c>
      <c r="Z81">
        <f>VLOOKUP(B81,[2]usage_profiles!$E$2:$AH$109,4,FALSE)</f>
        <v>17.533494225924443</v>
      </c>
    </row>
    <row r="82" spans="1:26" x14ac:dyDescent="0.25">
      <c r="A82" t="s">
        <v>246</v>
      </c>
      <c r="B82" t="s">
        <v>17</v>
      </c>
      <c r="C82" t="s">
        <v>17</v>
      </c>
      <c r="D82" s="1" t="str">
        <f>VLOOKUP(Zuweisungen!C82,'DIN V 18599-10'!$A$2:$B$47,2,FALSE)</f>
        <v>21</v>
      </c>
      <c r="E82" t="s">
        <v>75</v>
      </c>
      <c r="F82" t="str">
        <f>VLOOKUP(Zuweisungen!E82,'SIA 2024'!$A$2:$C$46,3,FALSE)</f>
        <v>12.12</v>
      </c>
      <c r="G82" t="str">
        <f>VLOOKUP(B82,[1]data_18599_10_default_avarge!$A$2:$M$112,1,FALSE)</f>
        <v>Rechenzentrum</v>
      </c>
      <c r="H82">
        <f>VLOOKUP(B82,[1]data_18599_10_default_avarge!$A$2:$M$112,2,FALSE)</f>
        <v>88</v>
      </c>
      <c r="I82" s="9" t="str">
        <f>VLOOKUP(Zuweisungen!D82,'DIN V 18599-10'!$B$2:$F$47,2,FALSE)</f>
        <v>70</v>
      </c>
      <c r="J82" s="9">
        <f>VLOOKUP(Zuweisungen!F82,'SIA 2024'!$C$2:$G$46,2,FALSE)</f>
        <v>70</v>
      </c>
      <c r="K82" s="9">
        <f>VLOOKUP(B82,[2]usage_profiles!$E$2:$AH$109,29,FALSE)</f>
        <v>9.6735449632791628</v>
      </c>
      <c r="L82" s="19" t="str">
        <f>VLOOKUP(Zuweisungen!D82,'DIN V 18599-10'!$B$2:$F$47,3,FALSE)</f>
        <v>50</v>
      </c>
      <c r="M82" s="19" t="str">
        <f>VLOOKUP(Zuweisungen!D82,'DIN V 18599-10'!$B$2:$F$47,4,FALSE)</f>
        <v>150</v>
      </c>
      <c r="N82" s="19" t="str">
        <f>VLOOKUP(Zuweisungen!D82,'DIN V 18599-10'!$B$2:$F$47,5,FALSE)</f>
        <v>500</v>
      </c>
      <c r="O82" s="10" t="str">
        <f>VLOOKUP(Zuweisungen!F82,'SIA 2024'!$C$2:$G$46,4,FALSE)</f>
        <v>50</v>
      </c>
      <c r="P82" s="11" t="str">
        <f>VLOOKUP(Zuweisungen!F82,'SIA 2024'!$C$2:$G$46,3,FALSE)</f>
        <v>100</v>
      </c>
      <c r="Q82" s="12" t="str">
        <f>VLOOKUP(Zuweisungen!F82,'SIA 2024'!$C$2:$G$46,5,FALSE)</f>
        <v>150</v>
      </c>
      <c r="R82" s="22">
        <f>VLOOKUP(B82,[2]usage_profiles!$E$2:$AH$109,30,FALSE)</f>
        <v>834.11919141546048</v>
      </c>
      <c r="S82" s="12">
        <f>VLOOKUP(B82,[2]usage_profiles!$E$2:$AH$109,30,FALSE)</f>
        <v>834.11919141546048</v>
      </c>
      <c r="T82" s="22">
        <f>VLOOKUP(B82,[2]usage_profiles!$E$2:$AH$109,30,FALSE)</f>
        <v>834.11919141546048</v>
      </c>
      <c r="U82">
        <f>VLOOKUP(Zuweisungen!D82,'DIN V 18599-10'!$B$2:$H$47,6,FALSE)</f>
        <v>0</v>
      </c>
      <c r="V82">
        <f>VLOOKUP(Zuweisungen!D82,'DIN V 18599-10'!$B$2:$H$47,7,FALSE)</f>
        <v>24</v>
      </c>
      <c r="W82">
        <f>VLOOKUP(Zuweisungen!F82,'SIA 2024'!$C$2:$I$46,6,FALSE)</f>
        <v>7</v>
      </c>
      <c r="X82">
        <f>VLOOKUP(Zuweisungen!F82,'SIA 2024'!$C$2:$I$46,7,FALSE)</f>
        <v>18</v>
      </c>
      <c r="Y82">
        <f>VLOOKUP(B82,[2]usage_profiles!$E$2:$AH$109,3,FALSE)</f>
        <v>3.778054085926148</v>
      </c>
      <c r="Z82">
        <f>VLOOKUP(B82,[2]usage_profiles!$E$2:$AH$109,4,FALSE)</f>
        <v>20.772602935177176</v>
      </c>
    </row>
    <row r="83" spans="1:26" x14ac:dyDescent="0.25">
      <c r="A83" t="s">
        <v>18</v>
      </c>
      <c r="B83" t="s">
        <v>330</v>
      </c>
      <c r="C83" s="1" t="s">
        <v>101</v>
      </c>
      <c r="D83" s="1" t="str">
        <f>VLOOKUP(Zuweisungen!C83,'DIN V 18599-10'!$A$2:$B$47,2,FALSE)</f>
        <v>7</v>
      </c>
      <c r="E83" t="s">
        <v>79</v>
      </c>
      <c r="F83" t="str">
        <f>VLOOKUP(Zuweisungen!E83,'SIA 2024'!$A$2:$C$46,3,FALSE)</f>
        <v>5.1</v>
      </c>
      <c r="G83" t="str">
        <f>VLOOKUP(B83,[1]data_18599_10_default_avarge!$A$2:$M$112,1,FALSE)</f>
        <v>Handelsgebäude des Lebensmitteleinzel- und -großhandels</v>
      </c>
      <c r="H83">
        <f>VLOOKUP(B83,[1]data_18599_10_default_avarge!$A$2:$M$112,2,FALSE)</f>
        <v>90</v>
      </c>
      <c r="I83" s="9">
        <f>VLOOKUP(Zuweisungen!D83,'DIN V 18599-10'!$B$2:$F$47,2,FALSE)</f>
        <v>70</v>
      </c>
      <c r="J83" s="9">
        <f>VLOOKUP(Zuweisungen!F83,'SIA 2024'!$C$2:$G$46,2,FALSE)</f>
        <v>70</v>
      </c>
      <c r="K83" s="9">
        <f>VLOOKUP(B83,[2]usage_profiles!$E$2:$AH$109,29,FALSE)</f>
        <v>65.898241337107649</v>
      </c>
      <c r="L83" s="19" t="str">
        <f>VLOOKUP(Zuweisungen!D83,'DIN V 18599-10'!$B$2:$F$47,3,FALSE)</f>
        <v>-12</v>
      </c>
      <c r="M83" s="19" t="str">
        <f>VLOOKUP(Zuweisungen!D83,'DIN V 18599-10'!$B$2:$F$47,4,FALSE)</f>
        <v>-10</v>
      </c>
      <c r="N83" s="19" t="str">
        <f>VLOOKUP(Zuweisungen!D83,'DIN V 18599-10'!$B$2:$F$47,5,FALSE)</f>
        <v>-8</v>
      </c>
      <c r="O83" s="10">
        <f>VLOOKUP(Zuweisungen!F83,'SIA 2024'!$C$2:$G$46,4,FALSE)</f>
        <v>-8</v>
      </c>
      <c r="P83" s="11">
        <f>VLOOKUP(Zuweisungen!F83,'SIA 2024'!$C$2:$G$46,3,FALSE)</f>
        <v>-10</v>
      </c>
      <c r="Q83" s="12">
        <f>VLOOKUP(Zuweisungen!F83,'SIA 2024'!$C$2:$G$46,5,FALSE)</f>
        <v>-12</v>
      </c>
      <c r="R83" s="22">
        <f>VLOOKUP(B83,[2]usage_profiles!$E$2:$AH$109,30,FALSE)</f>
        <v>-48.242011394184047</v>
      </c>
      <c r="S83" s="12">
        <f>VLOOKUP(B83,[2]usage_profiles!$E$2:$AH$109,30,FALSE)</f>
        <v>-48.242011394184047</v>
      </c>
      <c r="T83" s="22">
        <f>VLOOKUP(B83,[2]usage_profiles!$E$2:$AH$109,30,FALSE)</f>
        <v>-48.242011394184047</v>
      </c>
      <c r="U83">
        <f>VLOOKUP(Zuweisungen!D83,'DIN V 18599-10'!$B$2:$H$47,6,FALSE)</f>
        <v>8</v>
      </c>
      <c r="V83">
        <f>VLOOKUP(Zuweisungen!D83,'DIN V 18599-10'!$B$2:$H$47,7,FALSE)</f>
        <v>20</v>
      </c>
      <c r="W83">
        <f>VLOOKUP(Zuweisungen!F83,'SIA 2024'!$C$2:$I$46,6,FALSE)</f>
        <v>7</v>
      </c>
      <c r="X83">
        <f>VLOOKUP(Zuweisungen!F83,'SIA 2024'!$C$2:$I$46,7,FALSE)</f>
        <v>20</v>
      </c>
      <c r="Y83">
        <f>VLOOKUP(B83,[2]usage_profiles!$E$2:$AH$109,3,FALSE)</f>
        <v>7.6910707532369837</v>
      </c>
      <c r="Z83">
        <f>VLOOKUP(B83,[2]usage_profiles!$E$2:$AH$109,4,FALSE)</f>
        <v>19.498821477906297</v>
      </c>
    </row>
    <row r="84" spans="1:26" x14ac:dyDescent="0.25">
      <c r="A84" t="s">
        <v>18</v>
      </c>
      <c r="B84" t="s">
        <v>319</v>
      </c>
      <c r="C84" t="s">
        <v>99</v>
      </c>
      <c r="D84" s="1" t="str">
        <f>VLOOKUP(Zuweisungen!C84,'DIN V 18599-10'!$A$2:$B$47,2,FALSE)</f>
        <v>6</v>
      </c>
      <c r="E84" t="s">
        <v>83</v>
      </c>
      <c r="F84" t="str">
        <f>VLOOKUP(Zuweisungen!E84,'SIA 2024'!$A$2:$C$46,3,FALSE)</f>
        <v>5.2</v>
      </c>
      <c r="G84" t="str">
        <f>VLOOKUP(B84,[1]data_18599_10_default_avarge!$A$2:$M$112,1,FALSE)</f>
        <v>Handelsgebäude des Non-Food-Einzel- und -Großhandels</v>
      </c>
      <c r="H84">
        <f>VLOOKUP(B84,[1]data_18599_10_default_avarge!$A$2:$M$112,2,FALSE)</f>
        <v>91</v>
      </c>
      <c r="I84" s="9">
        <f>VLOOKUP(Zuweisungen!D84,'DIN V 18599-10'!$B$2:$F$47,2,FALSE)</f>
        <v>70</v>
      </c>
      <c r="J84" s="9">
        <f>VLOOKUP(Zuweisungen!F84,'SIA 2024'!$C$2:$G$46,2,FALSE)</f>
        <v>70</v>
      </c>
      <c r="K84" s="9">
        <f>VLOOKUP(B84,[2]usage_profiles!$E$2:$AH$109,29,FALSE)</f>
        <v>69.734315048876766</v>
      </c>
      <c r="L84" s="19" t="str">
        <f>VLOOKUP(Zuweisungen!D84,'DIN V 18599-10'!$B$2:$F$47,3,FALSE)</f>
        <v>1</v>
      </c>
      <c r="M84" s="19" t="str">
        <f>VLOOKUP(Zuweisungen!D84,'DIN V 18599-10'!$B$2:$F$47,4,FALSE)</f>
        <v>2</v>
      </c>
      <c r="N84" s="19" t="str">
        <f>VLOOKUP(Zuweisungen!D84,'DIN V 18599-10'!$B$2:$F$47,5,FALSE)</f>
        <v>3</v>
      </c>
      <c r="O84" s="10">
        <f>VLOOKUP(Zuweisungen!F84,'SIA 2024'!$C$2:$G$46,4,FALSE)</f>
        <v>1</v>
      </c>
      <c r="P84" s="11">
        <f>VLOOKUP(Zuweisungen!F84,'SIA 2024'!$C$2:$G$46,3,FALSE)</f>
        <v>2</v>
      </c>
      <c r="Q84" s="12">
        <f>VLOOKUP(Zuweisungen!F84,'SIA 2024'!$C$2:$G$46,5,FALSE)</f>
        <v>3</v>
      </c>
      <c r="R84" s="22">
        <f>VLOOKUP(B84,[2]usage_profiles!$E$2:$AH$109,30,FALSE)</f>
        <v>-11.248086196956283</v>
      </c>
      <c r="S84" s="12">
        <f>VLOOKUP(B84,[2]usage_profiles!$E$2:$AH$109,30,FALSE)</f>
        <v>-11.248086196956283</v>
      </c>
      <c r="T84" s="22">
        <f>VLOOKUP(B84,[2]usage_profiles!$E$2:$AH$109,30,FALSE)</f>
        <v>-11.248086196956283</v>
      </c>
      <c r="U84">
        <f>VLOOKUP(Zuweisungen!D84,'DIN V 18599-10'!$B$2:$H$47,6,FALSE)</f>
        <v>8</v>
      </c>
      <c r="V84">
        <f>VLOOKUP(Zuweisungen!D84,'DIN V 18599-10'!$B$2:$H$47,7,FALSE)</f>
        <v>20</v>
      </c>
      <c r="W84">
        <f>VLOOKUP(Zuweisungen!F84,'SIA 2024'!$C$2:$I$46,6,FALSE)</f>
        <v>7</v>
      </c>
      <c r="X84">
        <f>VLOOKUP(Zuweisungen!F84,'SIA 2024'!$C$2:$I$46,7,FALSE)</f>
        <v>20</v>
      </c>
      <c r="Y84">
        <f>VLOOKUP(B84,[2]usage_profiles!$E$2:$AH$109,3,FALSE)</f>
        <v>7.7753388303282014</v>
      </c>
      <c r="Z84">
        <f>VLOOKUP(B84,[2]usage_profiles!$E$2:$AH$109,4,FALSE)</f>
        <v>19.628547668267895</v>
      </c>
    </row>
    <row r="85" spans="1:26" x14ac:dyDescent="0.25">
      <c r="A85" t="s">
        <v>18</v>
      </c>
      <c r="B85" t="s">
        <v>320</v>
      </c>
      <c r="C85" t="s">
        <v>19</v>
      </c>
      <c r="D85" s="1" t="str">
        <f>VLOOKUP(Zuweisungen!C85,'DIN V 18599-10'!$A$2:$B$47,2,FALSE)</f>
        <v>5</v>
      </c>
      <c r="E85" t="s">
        <v>87</v>
      </c>
      <c r="F85" t="str">
        <f>VLOOKUP(Zuweisungen!E85,'SIA 2024'!$A$2:$C$46,3,FALSE)</f>
        <v>3.4</v>
      </c>
      <c r="G85" t="str">
        <f>VLOOKUP(B85,[1]data_18599_10_default_avarge!$A$2:$M$112,1,FALSE)</f>
        <v>Einkaufszentrum, Shopping-Mall</v>
      </c>
      <c r="H85">
        <f>VLOOKUP(B85,[1]data_18599_10_default_avarge!$A$2:$M$112,2,FALSE)</f>
        <v>92</v>
      </c>
      <c r="I85" s="9">
        <f>VLOOKUP(Zuweisungen!D85,'DIN V 18599-10'!$B$2:$F$47,2,FALSE)</f>
        <v>70</v>
      </c>
      <c r="J85" s="9">
        <f>VLOOKUP(Zuweisungen!F85,'SIA 2024'!$C$2:$G$46,2,FALSE)</f>
        <v>70</v>
      </c>
      <c r="K85" s="9">
        <f>VLOOKUP(B85,[2]usage_profiles!$E$2:$AH$109,29,FALSE)</f>
        <v>69.734315048876766</v>
      </c>
      <c r="L85" s="19" t="str">
        <f>VLOOKUP(Zuweisungen!D85,'DIN V 18599-10'!$B$2:$F$47,3,FALSE)</f>
        <v>1.5</v>
      </c>
      <c r="M85" s="19" t="str">
        <f>VLOOKUP(Zuweisungen!D85,'DIN V 18599-10'!$B$2:$F$47,4,FALSE)</f>
        <v>4</v>
      </c>
      <c r="N85" s="19" t="str">
        <f>VLOOKUP(Zuweisungen!D85,'DIN V 18599-10'!$B$2:$F$47,5,FALSE)</f>
        <v>9.5</v>
      </c>
      <c r="O85" s="10" t="str">
        <f>VLOOKUP(Zuweisungen!F85,'SIA 2024'!$C$2:$G$46,4,FALSE)</f>
        <v>1.5</v>
      </c>
      <c r="P85" s="11">
        <f>VLOOKUP(Zuweisungen!F85,'SIA 2024'!$C$2:$G$46,3,FALSE)</f>
        <v>4</v>
      </c>
      <c r="Q85" s="12" t="str">
        <f>VLOOKUP(Zuweisungen!F85,'SIA 2024'!$C$2:$G$46,5,FALSE)</f>
        <v>9.5</v>
      </c>
      <c r="R85" s="22">
        <f>VLOOKUP(B85,[2]usage_profiles!$E$2:$AH$109,30,FALSE)</f>
        <v>-11.248086196956283</v>
      </c>
      <c r="S85" s="12">
        <f>VLOOKUP(B85,[2]usage_profiles!$E$2:$AH$109,30,FALSE)</f>
        <v>-11.248086196956283</v>
      </c>
      <c r="T85" s="22">
        <f>VLOOKUP(B85,[2]usage_profiles!$E$2:$AH$109,30,FALSE)</f>
        <v>-11.248086196956283</v>
      </c>
      <c r="U85">
        <f>VLOOKUP(Zuweisungen!D85,'DIN V 18599-10'!$B$2:$H$47,6,FALSE)</f>
        <v>7</v>
      </c>
      <c r="V85">
        <f>VLOOKUP(Zuweisungen!D85,'DIN V 18599-10'!$B$2:$H$47,7,FALSE)</f>
        <v>18</v>
      </c>
      <c r="W85">
        <f>VLOOKUP(Zuweisungen!F85,'SIA 2024'!$C$2:$I$46,6,FALSE)</f>
        <v>7</v>
      </c>
      <c r="X85">
        <f>VLOOKUP(Zuweisungen!F85,'SIA 2024'!$C$2:$I$46,7,FALSE)</f>
        <v>18</v>
      </c>
      <c r="Y85">
        <f>VLOOKUP(B85,[2]usage_profiles!$E$2:$AH$109,3,FALSE)</f>
        <v>7.7753388303282014</v>
      </c>
      <c r="Z85">
        <f>VLOOKUP(B85,[2]usage_profiles!$E$2:$AH$109,4,FALSE)</f>
        <v>19.628547668267895</v>
      </c>
    </row>
    <row r="86" spans="1:26" x14ac:dyDescent="0.25">
      <c r="A86" t="s">
        <v>18</v>
      </c>
      <c r="B86" t="s">
        <v>22</v>
      </c>
      <c r="C86" s="1" t="s">
        <v>101</v>
      </c>
      <c r="D86" s="1" t="str">
        <f>VLOOKUP(Zuweisungen!C86,'DIN V 18599-10'!$A$2:$B$47,2,FALSE)</f>
        <v>7</v>
      </c>
      <c r="E86" t="s">
        <v>79</v>
      </c>
      <c r="F86" t="str">
        <f>VLOOKUP(Zuweisungen!E86,'SIA 2024'!$A$2:$C$46,3,FALSE)</f>
        <v>5.1</v>
      </c>
      <c r="G86" t="str">
        <f>VLOOKUP(B86,[1]data_18599_10_default_avarge!$A$2:$M$112,1,FALSE)</f>
        <v>Markthalle</v>
      </c>
      <c r="H86">
        <f>VLOOKUP(B86,[1]data_18599_10_default_avarge!$A$2:$M$112,2,FALSE)</f>
        <v>93</v>
      </c>
      <c r="I86" s="9">
        <f>VLOOKUP(Zuweisungen!D86,'DIN V 18599-10'!$B$2:$F$47,2,FALSE)</f>
        <v>70</v>
      </c>
      <c r="J86" s="9">
        <f>VLOOKUP(Zuweisungen!F86,'SIA 2024'!$C$2:$G$46,2,FALSE)</f>
        <v>70</v>
      </c>
      <c r="K86" s="9">
        <f>VLOOKUP(B86,[2]usage_profiles!$E$2:$AH$109,29,FALSE)</f>
        <v>65.898241337107649</v>
      </c>
      <c r="L86" s="19" t="str">
        <f>VLOOKUP(Zuweisungen!D86,'DIN V 18599-10'!$B$2:$F$47,3,FALSE)</f>
        <v>-12</v>
      </c>
      <c r="M86" s="19" t="str">
        <f>VLOOKUP(Zuweisungen!D86,'DIN V 18599-10'!$B$2:$F$47,4,FALSE)</f>
        <v>-10</v>
      </c>
      <c r="N86" s="19" t="str">
        <f>VLOOKUP(Zuweisungen!D86,'DIN V 18599-10'!$B$2:$F$47,5,FALSE)</f>
        <v>-8</v>
      </c>
      <c r="O86" s="10">
        <f>VLOOKUP(Zuweisungen!F86,'SIA 2024'!$C$2:$G$46,4,FALSE)</f>
        <v>-8</v>
      </c>
      <c r="P86" s="11">
        <f>VLOOKUP(Zuweisungen!F86,'SIA 2024'!$C$2:$G$46,3,FALSE)</f>
        <v>-10</v>
      </c>
      <c r="Q86" s="12">
        <f>VLOOKUP(Zuweisungen!F86,'SIA 2024'!$C$2:$G$46,5,FALSE)</f>
        <v>-12</v>
      </c>
      <c r="R86" s="22">
        <f>VLOOKUP(B86,[2]usage_profiles!$E$2:$AH$109,30,FALSE)</f>
        <v>-48.242011394184047</v>
      </c>
      <c r="S86" s="12">
        <f>VLOOKUP(B86,[2]usage_profiles!$E$2:$AH$109,30,FALSE)</f>
        <v>-48.242011394184047</v>
      </c>
      <c r="T86" s="22">
        <f>VLOOKUP(B86,[2]usage_profiles!$E$2:$AH$109,30,FALSE)</f>
        <v>-48.242011394184047</v>
      </c>
      <c r="U86">
        <f>VLOOKUP(Zuweisungen!D86,'DIN V 18599-10'!$B$2:$H$47,6,FALSE)</f>
        <v>8</v>
      </c>
      <c r="V86">
        <f>VLOOKUP(Zuweisungen!D86,'DIN V 18599-10'!$B$2:$H$47,7,FALSE)</f>
        <v>20</v>
      </c>
      <c r="W86">
        <f>VLOOKUP(Zuweisungen!F86,'SIA 2024'!$C$2:$I$46,6,FALSE)</f>
        <v>7</v>
      </c>
      <c r="X86">
        <f>VLOOKUP(Zuweisungen!F86,'SIA 2024'!$C$2:$I$46,7,FALSE)</f>
        <v>20</v>
      </c>
      <c r="Y86">
        <f>VLOOKUP(B86,[2]usage_profiles!$E$2:$AH$109,3,FALSE)</f>
        <v>7.6910707532369837</v>
      </c>
      <c r="Z86">
        <f>VLOOKUP(B86,[2]usage_profiles!$E$2:$AH$109,4,FALSE)</f>
        <v>19.498821477906297</v>
      </c>
    </row>
    <row r="87" spans="1:26" x14ac:dyDescent="0.25">
      <c r="A87" t="s">
        <v>18</v>
      </c>
      <c r="B87" t="s">
        <v>23</v>
      </c>
      <c r="C87" s="1" t="s">
        <v>139</v>
      </c>
      <c r="D87" s="1" t="str">
        <f>VLOOKUP(Zuweisungen!C87,'DIN V 18599-10'!$A$2:$B$47,2,FALSE)</f>
        <v>26</v>
      </c>
      <c r="E87" s="3" t="s">
        <v>58</v>
      </c>
      <c r="F87" t="str">
        <f>VLOOKUP(Zuweisungen!E87,'SIA 2024'!$A$2:$C$46,3,FALSE)</f>
        <v>7.3</v>
      </c>
      <c r="G87" t="str">
        <f>VLOOKUP(B87,[1]data_18599_10_default_avarge!$A$2:$M$112,1,FALSE)</f>
        <v>Messehalle</v>
      </c>
      <c r="H87">
        <f>VLOOKUP(B87,[1]data_18599_10_default_avarge!$A$2:$M$112,2,FALSE)</f>
        <v>94</v>
      </c>
      <c r="I87" s="9" t="str">
        <f>VLOOKUP(Zuweisungen!D87,'DIN V 18599-10'!$B$2:$F$47,2,FALSE)</f>
        <v>70</v>
      </c>
      <c r="J87" s="9">
        <f>VLOOKUP(Zuweisungen!F87,'SIA 2024'!$C$2:$G$46,2,FALSE)</f>
        <v>70</v>
      </c>
      <c r="K87" s="9">
        <f>VLOOKUP(B87,[2]usage_profiles!$E$2:$AH$109,29,FALSE)</f>
        <v>61.084278055442695</v>
      </c>
      <c r="L87" s="19" t="str">
        <f>VLOOKUP(Zuweisungen!D87,'DIN V 18599-10'!$B$2:$F$47,3,FALSE)</f>
        <v>1</v>
      </c>
      <c r="M87" s="19" t="str">
        <f>VLOOKUP(Zuweisungen!D87,'DIN V 18599-10'!$B$2:$F$47,4,FALSE)</f>
        <v>2</v>
      </c>
      <c r="N87" s="19" t="str">
        <f>VLOOKUP(Zuweisungen!D87,'DIN V 18599-10'!$B$2:$F$47,5,FALSE)</f>
        <v>3</v>
      </c>
      <c r="O87" s="10">
        <f>VLOOKUP(Zuweisungen!F87,'SIA 2024'!$C$2:$G$46,4,FALSE)</f>
        <v>3</v>
      </c>
      <c r="P87" s="11">
        <f>VLOOKUP(Zuweisungen!F87,'SIA 2024'!$C$2:$G$46,3,FALSE)</f>
        <v>7</v>
      </c>
      <c r="Q87" s="12">
        <f>VLOOKUP(Zuweisungen!F87,'SIA 2024'!$C$2:$G$46,5,FALSE)</f>
        <v>15</v>
      </c>
      <c r="R87" s="22">
        <f>VLOOKUP(B87,[2]usage_profiles!$E$2:$AH$109,30,FALSE)</f>
        <v>36.422250018288409</v>
      </c>
      <c r="S87" s="12">
        <f>VLOOKUP(B87,[2]usage_profiles!$E$2:$AH$109,30,FALSE)</f>
        <v>36.422250018288409</v>
      </c>
      <c r="T87" s="22">
        <f>VLOOKUP(B87,[2]usage_profiles!$E$2:$AH$109,30,FALSE)</f>
        <v>36.422250018288409</v>
      </c>
      <c r="U87">
        <f>VLOOKUP(Zuweisungen!D87,'DIN V 18599-10'!$B$2:$H$47,6,FALSE)</f>
        <v>13</v>
      </c>
      <c r="V87">
        <f>VLOOKUP(Zuweisungen!D87,'DIN V 18599-10'!$B$2:$H$47,7,FALSE)</f>
        <v>18</v>
      </c>
      <c r="W87">
        <f>VLOOKUP(Zuweisungen!F87,'SIA 2024'!$C$2:$I$46,6,FALSE)</f>
        <v>7</v>
      </c>
      <c r="X87">
        <f>VLOOKUP(Zuweisungen!F87,'SIA 2024'!$C$2:$I$46,7,FALSE)</f>
        <v>23</v>
      </c>
      <c r="Y87">
        <f>VLOOKUP(B87,[2]usage_profiles!$E$2:$AH$109,3,FALSE)</f>
        <v>9.4042983005542933</v>
      </c>
      <c r="Z87">
        <f>VLOOKUP(B87,[2]usage_profiles!$E$2:$AH$109,4,FALSE)</f>
        <v>19.33923644253597</v>
      </c>
    </row>
    <row r="88" spans="1:26" x14ac:dyDescent="0.25">
      <c r="A88" t="s">
        <v>18</v>
      </c>
      <c r="B88" t="s">
        <v>321</v>
      </c>
      <c r="C88" s="1" t="s">
        <v>99</v>
      </c>
      <c r="D88" s="1" t="str">
        <f>VLOOKUP(Zuweisungen!C88,'DIN V 18599-10'!$A$2:$B$47,2,FALSE)</f>
        <v>6</v>
      </c>
      <c r="E88" t="s">
        <v>83</v>
      </c>
      <c r="F88" t="str">
        <f>VLOOKUP(Zuweisungen!E88,'SIA 2024'!$A$2:$C$46,3,FALSE)</f>
        <v>5.2</v>
      </c>
      <c r="G88" t="str">
        <f>VLOOKUP(B88,[1]data_18599_10_default_avarge!$A$2:$M$112,1,FALSE)</f>
        <v>von Dienstleistern (z.B. Frisör, Kosmetik) genutztes Ladengebäude</v>
      </c>
      <c r="H88">
        <f>VLOOKUP(B88,[1]data_18599_10_default_avarge!$A$2:$M$112,2,FALSE)</f>
        <v>95</v>
      </c>
      <c r="I88" s="9">
        <f>VLOOKUP(Zuweisungen!D88,'DIN V 18599-10'!$B$2:$F$47,2,FALSE)</f>
        <v>70</v>
      </c>
      <c r="J88" s="9">
        <f>VLOOKUP(Zuweisungen!F88,'SIA 2024'!$C$2:$G$46,2,FALSE)</f>
        <v>70</v>
      </c>
      <c r="K88" s="9">
        <f>VLOOKUP(B88,[2]usage_profiles!$E$2:$AH$109,29,FALSE)</f>
        <v>65.483088512889694</v>
      </c>
      <c r="L88" s="19" t="str">
        <f>VLOOKUP(Zuweisungen!D88,'DIN V 18599-10'!$B$2:$F$47,3,FALSE)</f>
        <v>1</v>
      </c>
      <c r="M88" s="19" t="str">
        <f>VLOOKUP(Zuweisungen!D88,'DIN V 18599-10'!$B$2:$F$47,4,FALSE)</f>
        <v>2</v>
      </c>
      <c r="N88" s="19" t="str">
        <f>VLOOKUP(Zuweisungen!D88,'DIN V 18599-10'!$B$2:$F$47,5,FALSE)</f>
        <v>3</v>
      </c>
      <c r="O88" s="10">
        <f>VLOOKUP(Zuweisungen!F88,'SIA 2024'!$C$2:$G$46,4,FALSE)</f>
        <v>1</v>
      </c>
      <c r="P88" s="11">
        <f>VLOOKUP(Zuweisungen!F88,'SIA 2024'!$C$2:$G$46,3,FALSE)</f>
        <v>2</v>
      </c>
      <c r="Q88" s="12">
        <f>VLOOKUP(Zuweisungen!F88,'SIA 2024'!$C$2:$G$46,5,FALSE)</f>
        <v>3</v>
      </c>
      <c r="R88" s="22">
        <f>VLOOKUP(B88,[2]usage_profiles!$E$2:$AH$109,30,FALSE)</f>
        <v>96.51887453182799</v>
      </c>
      <c r="S88" s="12">
        <f>VLOOKUP(B88,[2]usage_profiles!$E$2:$AH$109,30,FALSE)</f>
        <v>96.51887453182799</v>
      </c>
      <c r="T88" s="22">
        <f>VLOOKUP(B88,[2]usage_profiles!$E$2:$AH$109,30,FALSE)</f>
        <v>96.51887453182799</v>
      </c>
      <c r="U88">
        <f>VLOOKUP(Zuweisungen!D88,'DIN V 18599-10'!$B$2:$H$47,6,FALSE)</f>
        <v>8</v>
      </c>
      <c r="V88">
        <f>VLOOKUP(Zuweisungen!D88,'DIN V 18599-10'!$B$2:$H$47,7,FALSE)</f>
        <v>20</v>
      </c>
      <c r="W88">
        <f>VLOOKUP(Zuweisungen!F88,'SIA 2024'!$C$2:$I$46,6,FALSE)</f>
        <v>7</v>
      </c>
      <c r="X88">
        <f>VLOOKUP(Zuweisungen!F88,'SIA 2024'!$C$2:$I$46,7,FALSE)</f>
        <v>20</v>
      </c>
      <c r="Y88">
        <f>VLOOKUP(B88,[2]usage_profiles!$E$2:$AH$109,3,FALSE)</f>
        <v>7.6094781672891196</v>
      </c>
      <c r="Z88">
        <f>VLOOKUP(B88,[2]usage_profiles!$E$2:$AH$109,4,FALSE)</f>
        <v>19.002160155686827</v>
      </c>
    </row>
    <row r="89" spans="1:26" x14ac:dyDescent="0.25">
      <c r="A89" t="s">
        <v>26</v>
      </c>
      <c r="B89" t="s">
        <v>322</v>
      </c>
      <c r="C89" s="1" t="s">
        <v>94</v>
      </c>
      <c r="D89" s="1" t="str">
        <f>VLOOKUP(Zuweisungen!C89,'DIN V 18599-10'!$A$2:$B$47,2,FALSE)</f>
        <v>3</v>
      </c>
      <c r="E89" s="3" t="s">
        <v>49</v>
      </c>
      <c r="F89" t="str">
        <f>VLOOKUP(Zuweisungen!E89,'SIA 2024'!$A$2:$C$46,3,FALSE)</f>
        <v>3.2</v>
      </c>
      <c r="G89" t="str">
        <f>VLOOKUP(B89,[1]data_18599_10_default_avarge!$A$2:$M$112,1,FALSE)</f>
        <v>Kraftwerk (Gesamtanlage für Energieversorgung)</v>
      </c>
      <c r="H89">
        <f>VLOOKUP(B89,[1]data_18599_10_default_avarge!$A$2:$M$112,2,FALSE)</f>
        <v>97</v>
      </c>
      <c r="I89" s="9">
        <f>VLOOKUP(Zuweisungen!D89,'DIN V 18599-10'!$B$2:$F$47,2,FALSE)</f>
        <v>70</v>
      </c>
      <c r="J89" s="9">
        <f>VLOOKUP(Zuweisungen!F89,'SIA 2024'!$C$2:$G$46,2,FALSE)</f>
        <v>70</v>
      </c>
      <c r="K89" s="9">
        <f>VLOOKUP(B89,[2]usage_profiles!$E$2:$AH$109,29,FALSE)</f>
        <v>36.048453369857171</v>
      </c>
      <c r="L89" s="19" t="str">
        <f>VLOOKUP(Zuweisungen!D89,'DIN V 18599-10'!$B$2:$F$47,3,FALSE)</f>
        <v>4.2</v>
      </c>
      <c r="M89" s="19" t="str">
        <f>VLOOKUP(Zuweisungen!D89,'DIN V 18599-10'!$B$2:$F$47,4,FALSE)</f>
        <v>10</v>
      </c>
      <c r="N89" s="19" t="str">
        <f>VLOOKUP(Zuweisungen!D89,'DIN V 18599-10'!$B$2:$F$47,5,FALSE)</f>
        <v>18.8</v>
      </c>
      <c r="O89" s="10">
        <f>VLOOKUP(Zuweisungen!F89,'SIA 2024'!$C$2:$G$46,4,FALSE)</f>
        <v>4</v>
      </c>
      <c r="P89" s="11">
        <f>VLOOKUP(Zuweisungen!F89,'SIA 2024'!$C$2:$G$46,3,FALSE)</f>
        <v>10</v>
      </c>
      <c r="Q89" s="12">
        <f>VLOOKUP(Zuweisungen!F89,'SIA 2024'!$C$2:$G$46,5,FALSE)</f>
        <v>19</v>
      </c>
      <c r="R89" s="22">
        <f>VLOOKUP(B89,[2]usage_profiles!$E$2:$AH$109,30,FALSE)</f>
        <v>518.71997011686437</v>
      </c>
      <c r="S89" s="12">
        <f>VLOOKUP(B89,[2]usage_profiles!$E$2:$AH$109,30,FALSE)</f>
        <v>518.71997011686437</v>
      </c>
      <c r="T89" s="22">
        <f>VLOOKUP(B89,[2]usage_profiles!$E$2:$AH$109,30,FALSE)</f>
        <v>518.71997011686437</v>
      </c>
      <c r="U89">
        <f>VLOOKUP(Zuweisungen!D89,'DIN V 18599-10'!$B$2:$H$47,6,FALSE)</f>
        <v>7</v>
      </c>
      <c r="V89">
        <f>VLOOKUP(Zuweisungen!D89,'DIN V 18599-10'!$B$2:$H$47,7,FALSE)</f>
        <v>18</v>
      </c>
      <c r="W89">
        <f>VLOOKUP(Zuweisungen!F89,'SIA 2024'!$C$2:$I$46,6,FALSE)</f>
        <v>7</v>
      </c>
      <c r="X89">
        <f>VLOOKUP(Zuweisungen!F89,'SIA 2024'!$C$2:$I$46,7,FALSE)</f>
        <v>18</v>
      </c>
      <c r="Y89">
        <f>VLOOKUP(B89,[2]usage_profiles!$E$2:$AH$109,3,FALSE)</f>
        <v>5.1677190985254082</v>
      </c>
      <c r="Z89">
        <f>VLOOKUP(B89,[2]usage_profiles!$E$2:$AH$109,4,FALSE)</f>
        <v>20.057702911826961</v>
      </c>
    </row>
    <row r="90" spans="1:26" x14ac:dyDescent="0.25">
      <c r="A90" t="s">
        <v>26</v>
      </c>
      <c r="B90" t="s">
        <v>323</v>
      </c>
      <c r="C90" s="1" t="s">
        <v>94</v>
      </c>
      <c r="D90" s="1" t="str">
        <f>VLOOKUP(Zuweisungen!C90,'DIN V 18599-10'!$A$2:$B$47,2,FALSE)</f>
        <v>3</v>
      </c>
      <c r="E90" s="3" t="s">
        <v>49</v>
      </c>
      <c r="F90" t="str">
        <f>VLOOKUP(Zuweisungen!E90,'SIA 2024'!$A$2:$C$46,3,FALSE)</f>
        <v>3.2</v>
      </c>
      <c r="G90" t="str">
        <f>VLOOKUP(B90,[1]data_18599_10_default_avarge!$A$2:$M$112,1,FALSE)</f>
        <v>Gebäude für Lenkung, Steuerung, Überwachung und Nachrichtenübermittlung (z.B. Stellwerk, Leuchtturm)</v>
      </c>
      <c r="H90">
        <f>VLOOKUP(B90,[1]data_18599_10_default_avarge!$A$2:$M$112,2,FALSE)</f>
        <v>98</v>
      </c>
      <c r="I90" s="9">
        <f>VLOOKUP(Zuweisungen!D90,'DIN V 18599-10'!$B$2:$F$47,2,FALSE)</f>
        <v>70</v>
      </c>
      <c r="J90" s="9">
        <f>VLOOKUP(Zuweisungen!F90,'SIA 2024'!$C$2:$G$46,2,FALSE)</f>
        <v>70</v>
      </c>
      <c r="K90" s="9">
        <f>VLOOKUP(B90,[2]usage_profiles!$E$2:$AH$109,29,FALSE)</f>
        <v>9.7951636804526494</v>
      </c>
      <c r="L90" s="19" t="str">
        <f>VLOOKUP(Zuweisungen!D90,'DIN V 18599-10'!$B$2:$F$47,3,FALSE)</f>
        <v>4.2</v>
      </c>
      <c r="M90" s="19" t="str">
        <f>VLOOKUP(Zuweisungen!D90,'DIN V 18599-10'!$B$2:$F$47,4,FALSE)</f>
        <v>10</v>
      </c>
      <c r="N90" s="19" t="str">
        <f>VLOOKUP(Zuweisungen!D90,'DIN V 18599-10'!$B$2:$F$47,5,FALSE)</f>
        <v>18.8</v>
      </c>
      <c r="O90" s="10">
        <f>VLOOKUP(Zuweisungen!F90,'SIA 2024'!$C$2:$G$46,4,FALSE)</f>
        <v>4</v>
      </c>
      <c r="P90" s="11">
        <f>VLOOKUP(Zuweisungen!F90,'SIA 2024'!$C$2:$G$46,3,FALSE)</f>
        <v>10</v>
      </c>
      <c r="Q90" s="12">
        <f>VLOOKUP(Zuweisungen!F90,'SIA 2024'!$C$2:$G$46,5,FALSE)</f>
        <v>19</v>
      </c>
      <c r="R90" s="22">
        <f>VLOOKUP(B90,[2]usage_profiles!$E$2:$AH$109,30,FALSE)</f>
        <v>904.86494678701342</v>
      </c>
      <c r="S90" s="12">
        <f>VLOOKUP(B90,[2]usage_profiles!$E$2:$AH$109,30,FALSE)</f>
        <v>904.86494678701342</v>
      </c>
      <c r="T90" s="22">
        <f>VLOOKUP(B90,[2]usage_profiles!$E$2:$AH$109,30,FALSE)</f>
        <v>904.86494678701342</v>
      </c>
      <c r="U90">
        <f>VLOOKUP(Zuweisungen!D90,'DIN V 18599-10'!$B$2:$H$47,6,FALSE)</f>
        <v>7</v>
      </c>
      <c r="V90">
        <f>VLOOKUP(Zuweisungen!D90,'DIN V 18599-10'!$B$2:$H$47,7,FALSE)</f>
        <v>18</v>
      </c>
      <c r="W90">
        <f>VLOOKUP(Zuweisungen!F90,'SIA 2024'!$C$2:$I$46,6,FALSE)</f>
        <v>7</v>
      </c>
      <c r="X90">
        <f>VLOOKUP(Zuweisungen!F90,'SIA 2024'!$C$2:$I$46,7,FALSE)</f>
        <v>18</v>
      </c>
      <c r="Y90">
        <f>VLOOKUP(B90,[2]usage_profiles!$E$2:$AH$109,3,FALSE)</f>
        <v>3.4891553280344878</v>
      </c>
      <c r="Z90">
        <f>VLOOKUP(B90,[2]usage_profiles!$E$2:$AH$109,4,FALSE)</f>
        <v>21.009295433113301</v>
      </c>
    </row>
    <row r="91" spans="1:26" x14ac:dyDescent="0.25">
      <c r="A91" t="s">
        <v>26</v>
      </c>
      <c r="B91" t="s">
        <v>324</v>
      </c>
      <c r="C91" s="1" t="s">
        <v>94</v>
      </c>
      <c r="D91" s="1" t="str">
        <f>VLOOKUP(Zuweisungen!C91,'DIN V 18599-10'!$A$2:$B$47,2,FALSE)</f>
        <v>3</v>
      </c>
      <c r="E91" s="3" t="s">
        <v>49</v>
      </c>
      <c r="F91" t="str">
        <f>VLOOKUP(Zuweisungen!E91,'SIA 2024'!$A$2:$C$46,3,FALSE)</f>
        <v>3.2</v>
      </c>
      <c r="G91" t="str">
        <f>VLOOKUP(B91,[1]data_18599_10_default_avarge!$A$2:$M$112,1,FALSE)</f>
        <v>Gebäude für Energieversorgung (z.B. Fernheizwerk, Tankstelle)</v>
      </c>
      <c r="H91">
        <f>VLOOKUP(B91,[1]data_18599_10_default_avarge!$A$2:$M$112,2,FALSE)</f>
        <v>99</v>
      </c>
      <c r="I91" s="9">
        <f>VLOOKUP(Zuweisungen!D91,'DIN V 18599-10'!$B$2:$F$47,2,FALSE)</f>
        <v>70</v>
      </c>
      <c r="J91" s="9">
        <f>VLOOKUP(Zuweisungen!F91,'SIA 2024'!$C$2:$G$46,2,FALSE)</f>
        <v>70</v>
      </c>
      <c r="K91" s="9">
        <f>VLOOKUP(B91,[2]usage_profiles!$E$2:$AH$109,29,FALSE)</f>
        <v>36.048453369857171</v>
      </c>
      <c r="L91" s="19" t="str">
        <f>VLOOKUP(Zuweisungen!D91,'DIN V 18599-10'!$B$2:$F$47,3,FALSE)</f>
        <v>4.2</v>
      </c>
      <c r="M91" s="19" t="str">
        <f>VLOOKUP(Zuweisungen!D91,'DIN V 18599-10'!$B$2:$F$47,4,FALSE)</f>
        <v>10</v>
      </c>
      <c r="N91" s="19" t="str">
        <f>VLOOKUP(Zuweisungen!D91,'DIN V 18599-10'!$B$2:$F$47,5,FALSE)</f>
        <v>18.8</v>
      </c>
      <c r="O91" s="10">
        <f>VLOOKUP(Zuweisungen!F91,'SIA 2024'!$C$2:$G$46,4,FALSE)</f>
        <v>4</v>
      </c>
      <c r="P91" s="11">
        <f>VLOOKUP(Zuweisungen!F91,'SIA 2024'!$C$2:$G$46,3,FALSE)</f>
        <v>10</v>
      </c>
      <c r="Q91" s="12">
        <f>VLOOKUP(Zuweisungen!F91,'SIA 2024'!$C$2:$G$46,5,FALSE)</f>
        <v>19</v>
      </c>
      <c r="R91" s="22">
        <f>VLOOKUP(B91,[2]usage_profiles!$E$2:$AH$109,30,FALSE)</f>
        <v>518.71997011686437</v>
      </c>
      <c r="S91" s="12">
        <f>VLOOKUP(B91,[2]usage_profiles!$E$2:$AH$109,30,FALSE)</f>
        <v>518.71997011686437</v>
      </c>
      <c r="T91" s="22">
        <f>VLOOKUP(B91,[2]usage_profiles!$E$2:$AH$109,30,FALSE)</f>
        <v>518.71997011686437</v>
      </c>
      <c r="U91">
        <f>VLOOKUP(Zuweisungen!D91,'DIN V 18599-10'!$B$2:$H$47,6,FALSE)</f>
        <v>7</v>
      </c>
      <c r="V91">
        <f>VLOOKUP(Zuweisungen!D91,'DIN V 18599-10'!$B$2:$H$47,7,FALSE)</f>
        <v>18</v>
      </c>
      <c r="W91">
        <f>VLOOKUP(Zuweisungen!F91,'SIA 2024'!$C$2:$I$46,6,FALSE)</f>
        <v>7</v>
      </c>
      <c r="X91">
        <f>VLOOKUP(Zuweisungen!F91,'SIA 2024'!$C$2:$I$46,7,FALSE)</f>
        <v>18</v>
      </c>
      <c r="Y91">
        <f>VLOOKUP(B91,[2]usage_profiles!$E$2:$AH$109,3,FALSE)</f>
        <v>5.1677190985254082</v>
      </c>
      <c r="Z91">
        <f>VLOOKUP(B91,[2]usage_profiles!$E$2:$AH$109,4,FALSE)</f>
        <v>20.057702911826961</v>
      </c>
    </row>
    <row r="92" spans="1:26" x14ac:dyDescent="0.25">
      <c r="A92" t="s">
        <v>26</v>
      </c>
      <c r="B92" s="1" t="s">
        <v>27</v>
      </c>
      <c r="C92" s="1" t="s">
        <v>94</v>
      </c>
      <c r="D92" s="1" t="str">
        <f>VLOOKUP(Zuweisungen!C92,'DIN V 18599-10'!$A$2:$B$47,2,FALSE)</f>
        <v>3</v>
      </c>
      <c r="E92" s="3" t="s">
        <v>49</v>
      </c>
      <c r="F92" t="str">
        <f>VLOOKUP(Zuweisungen!E92,'SIA 2024'!$A$2:$C$46,3,FALSE)</f>
        <v>3.2</v>
      </c>
      <c r="G92" t="str">
        <f>VLOOKUP(B92,[1]data_18599_10_default_avarge!$A$2:$M$112,1,FALSE)</f>
        <v>Gebäude für Wasserversorgung</v>
      </c>
      <c r="H92">
        <f>VLOOKUP(B92,[1]data_18599_10_default_avarge!$A$2:$M$112,2,FALSE)</f>
        <v>100</v>
      </c>
      <c r="I92" s="9">
        <f>VLOOKUP(Zuweisungen!D92,'DIN V 18599-10'!$B$2:$F$47,2,FALSE)</f>
        <v>70</v>
      </c>
      <c r="J92" s="9">
        <f>VLOOKUP(Zuweisungen!F92,'SIA 2024'!$C$2:$G$46,2,FALSE)</f>
        <v>70</v>
      </c>
      <c r="K92" s="9">
        <f>VLOOKUP(B92,[2]usage_profiles!$E$2:$AH$109,29,FALSE)</f>
        <v>36.048453369857171</v>
      </c>
      <c r="L92" s="19" t="str">
        <f>VLOOKUP(Zuweisungen!D92,'DIN V 18599-10'!$B$2:$F$47,3,FALSE)</f>
        <v>4.2</v>
      </c>
      <c r="M92" s="19" t="str">
        <f>VLOOKUP(Zuweisungen!D92,'DIN V 18599-10'!$B$2:$F$47,4,FALSE)</f>
        <v>10</v>
      </c>
      <c r="N92" s="19" t="str">
        <f>VLOOKUP(Zuweisungen!D92,'DIN V 18599-10'!$B$2:$F$47,5,FALSE)</f>
        <v>18.8</v>
      </c>
      <c r="O92" s="10">
        <f>VLOOKUP(Zuweisungen!F92,'SIA 2024'!$C$2:$G$46,4,FALSE)</f>
        <v>4</v>
      </c>
      <c r="P92" s="11">
        <f>VLOOKUP(Zuweisungen!F92,'SIA 2024'!$C$2:$G$46,3,FALSE)</f>
        <v>10</v>
      </c>
      <c r="Q92" s="12">
        <f>VLOOKUP(Zuweisungen!F92,'SIA 2024'!$C$2:$G$46,5,FALSE)</f>
        <v>19</v>
      </c>
      <c r="R92" s="22">
        <f>VLOOKUP(B92,[2]usage_profiles!$E$2:$AH$109,30,FALSE)</f>
        <v>518.71997011686437</v>
      </c>
      <c r="S92" s="12">
        <f>VLOOKUP(B92,[2]usage_profiles!$E$2:$AH$109,30,FALSE)</f>
        <v>518.71997011686437</v>
      </c>
      <c r="T92" s="22">
        <f>VLOOKUP(B92,[2]usage_profiles!$E$2:$AH$109,30,FALSE)</f>
        <v>518.71997011686437</v>
      </c>
      <c r="U92">
        <f>VLOOKUP(Zuweisungen!D92,'DIN V 18599-10'!$B$2:$H$47,6,FALSE)</f>
        <v>7</v>
      </c>
      <c r="V92">
        <f>VLOOKUP(Zuweisungen!D92,'DIN V 18599-10'!$B$2:$H$47,7,FALSE)</f>
        <v>18</v>
      </c>
      <c r="W92">
        <f>VLOOKUP(Zuweisungen!F92,'SIA 2024'!$C$2:$I$46,6,FALSE)</f>
        <v>7</v>
      </c>
      <c r="X92">
        <f>VLOOKUP(Zuweisungen!F92,'SIA 2024'!$C$2:$I$46,7,FALSE)</f>
        <v>18</v>
      </c>
      <c r="Y92">
        <f>VLOOKUP(B92,[2]usage_profiles!$E$2:$AH$109,3,FALSE)</f>
        <v>5.1677190985254082</v>
      </c>
      <c r="Z92">
        <f>VLOOKUP(B92,[2]usage_profiles!$E$2:$AH$109,4,FALSE)</f>
        <v>20.057702911826961</v>
      </c>
    </row>
    <row r="93" spans="1:26" x14ac:dyDescent="0.25">
      <c r="A93" t="s">
        <v>26</v>
      </c>
      <c r="B93" s="1" t="s">
        <v>28</v>
      </c>
      <c r="C93" s="1" t="s">
        <v>94</v>
      </c>
      <c r="D93" s="1" t="str">
        <f>VLOOKUP(Zuweisungen!C93,'DIN V 18599-10'!$A$2:$B$47,2,FALSE)</f>
        <v>3</v>
      </c>
      <c r="E93" s="3" t="s">
        <v>49</v>
      </c>
      <c r="F93" t="str">
        <f>VLOOKUP(Zuweisungen!E93,'SIA 2024'!$A$2:$C$46,3,FALSE)</f>
        <v>3.2</v>
      </c>
      <c r="G93" t="str">
        <f>VLOOKUP(B93,[1]data_18599_10_default_avarge!$A$2:$M$112,1,FALSE)</f>
        <v>Gebäude für Abwasserbehandlung</v>
      </c>
      <c r="H93">
        <f>VLOOKUP(B93,[1]data_18599_10_default_avarge!$A$2:$M$112,2,FALSE)</f>
        <v>101</v>
      </c>
      <c r="I93" s="9">
        <f>VLOOKUP(Zuweisungen!D93,'DIN V 18599-10'!$B$2:$F$47,2,FALSE)</f>
        <v>70</v>
      </c>
      <c r="J93" s="9">
        <f>VLOOKUP(Zuweisungen!F93,'SIA 2024'!$C$2:$G$46,2,FALSE)</f>
        <v>70</v>
      </c>
      <c r="K93" s="9">
        <f>VLOOKUP(B93,[2]usage_profiles!$E$2:$AH$109,29,FALSE)</f>
        <v>36.048453369857171</v>
      </c>
      <c r="L93" s="19" t="str">
        <f>VLOOKUP(Zuweisungen!D93,'DIN V 18599-10'!$B$2:$F$47,3,FALSE)</f>
        <v>4.2</v>
      </c>
      <c r="M93" s="19" t="str">
        <f>VLOOKUP(Zuweisungen!D93,'DIN V 18599-10'!$B$2:$F$47,4,FALSE)</f>
        <v>10</v>
      </c>
      <c r="N93" s="19" t="str">
        <f>VLOOKUP(Zuweisungen!D93,'DIN V 18599-10'!$B$2:$F$47,5,FALSE)</f>
        <v>18.8</v>
      </c>
      <c r="O93" s="10">
        <f>VLOOKUP(Zuweisungen!F93,'SIA 2024'!$C$2:$G$46,4,FALSE)</f>
        <v>4</v>
      </c>
      <c r="P93" s="11">
        <f>VLOOKUP(Zuweisungen!F93,'SIA 2024'!$C$2:$G$46,3,FALSE)</f>
        <v>10</v>
      </c>
      <c r="Q93" s="12">
        <f>VLOOKUP(Zuweisungen!F93,'SIA 2024'!$C$2:$G$46,5,FALSE)</f>
        <v>19</v>
      </c>
      <c r="R93" s="22">
        <f>VLOOKUP(B93,[2]usage_profiles!$E$2:$AH$109,30,FALSE)</f>
        <v>518.71997011686437</v>
      </c>
      <c r="S93" s="12">
        <f>VLOOKUP(B93,[2]usage_profiles!$E$2:$AH$109,30,FALSE)</f>
        <v>518.71997011686437</v>
      </c>
      <c r="T93" s="22">
        <f>VLOOKUP(B93,[2]usage_profiles!$E$2:$AH$109,30,FALSE)</f>
        <v>518.71997011686437</v>
      </c>
      <c r="U93">
        <f>VLOOKUP(Zuweisungen!D93,'DIN V 18599-10'!$B$2:$H$47,6,FALSE)</f>
        <v>7</v>
      </c>
      <c r="V93">
        <f>VLOOKUP(Zuweisungen!D93,'DIN V 18599-10'!$B$2:$H$47,7,FALSE)</f>
        <v>18</v>
      </c>
      <c r="W93">
        <f>VLOOKUP(Zuweisungen!F93,'SIA 2024'!$C$2:$I$46,6,FALSE)</f>
        <v>7</v>
      </c>
      <c r="X93">
        <f>VLOOKUP(Zuweisungen!F93,'SIA 2024'!$C$2:$I$46,7,FALSE)</f>
        <v>18</v>
      </c>
      <c r="Y93">
        <f>VLOOKUP(B93,[2]usage_profiles!$E$2:$AH$109,3,FALSE)</f>
        <v>5.1677190985254082</v>
      </c>
      <c r="Z93">
        <f>VLOOKUP(B93,[2]usage_profiles!$E$2:$AH$109,4,FALSE)</f>
        <v>20.057702911826961</v>
      </c>
    </row>
    <row r="94" spans="1:26" x14ac:dyDescent="0.25">
      <c r="A94" t="s">
        <v>26</v>
      </c>
      <c r="B94" s="1" t="s">
        <v>29</v>
      </c>
      <c r="C94" s="1" t="s">
        <v>94</v>
      </c>
      <c r="D94" s="1" t="str">
        <f>VLOOKUP(Zuweisungen!C94,'DIN V 18599-10'!$A$2:$B$47,2,FALSE)</f>
        <v>3</v>
      </c>
      <c r="E94" s="3" t="s">
        <v>49</v>
      </c>
      <c r="F94" t="str">
        <f>VLOOKUP(Zuweisungen!E94,'SIA 2024'!$A$2:$C$46,3,FALSE)</f>
        <v>3.2</v>
      </c>
      <c r="G94" t="str">
        <f>VLOOKUP(B94,[1]data_18599_10_default_avarge!$A$2:$M$112,1,FALSE)</f>
        <v>Gebäude für Abfallbehandlung</v>
      </c>
      <c r="H94">
        <f>VLOOKUP(B94,[1]data_18599_10_default_avarge!$A$2:$M$112,2,FALSE)</f>
        <v>102</v>
      </c>
      <c r="I94" s="9">
        <f>VLOOKUP(Zuweisungen!D94,'DIN V 18599-10'!$B$2:$F$47,2,FALSE)</f>
        <v>70</v>
      </c>
      <c r="J94" s="9">
        <f>VLOOKUP(Zuweisungen!F94,'SIA 2024'!$C$2:$G$46,2,FALSE)</f>
        <v>70</v>
      </c>
      <c r="K94" s="9">
        <f>VLOOKUP(B94,[2]usage_profiles!$E$2:$AH$109,29,FALSE)</f>
        <v>36.048453369857171</v>
      </c>
      <c r="L94" s="19" t="str">
        <f>VLOOKUP(Zuweisungen!D94,'DIN V 18599-10'!$B$2:$F$47,3,FALSE)</f>
        <v>4.2</v>
      </c>
      <c r="M94" s="19" t="str">
        <f>VLOOKUP(Zuweisungen!D94,'DIN V 18599-10'!$B$2:$F$47,4,FALSE)</f>
        <v>10</v>
      </c>
      <c r="N94" s="19" t="str">
        <f>VLOOKUP(Zuweisungen!D94,'DIN V 18599-10'!$B$2:$F$47,5,FALSE)</f>
        <v>18.8</v>
      </c>
      <c r="O94" s="10">
        <f>VLOOKUP(Zuweisungen!F94,'SIA 2024'!$C$2:$G$46,4,FALSE)</f>
        <v>4</v>
      </c>
      <c r="P94" s="11">
        <f>VLOOKUP(Zuweisungen!F94,'SIA 2024'!$C$2:$G$46,3,FALSE)</f>
        <v>10</v>
      </c>
      <c r="Q94" s="12">
        <f>VLOOKUP(Zuweisungen!F94,'SIA 2024'!$C$2:$G$46,5,FALSE)</f>
        <v>19</v>
      </c>
      <c r="R94" s="22">
        <f>VLOOKUP(B94,[2]usage_profiles!$E$2:$AH$109,30,FALSE)</f>
        <v>518.71997011686437</v>
      </c>
      <c r="S94" s="12">
        <f>VLOOKUP(B94,[2]usage_profiles!$E$2:$AH$109,30,FALSE)</f>
        <v>518.71997011686437</v>
      </c>
      <c r="T94" s="22">
        <f>VLOOKUP(B94,[2]usage_profiles!$E$2:$AH$109,30,FALSE)</f>
        <v>518.71997011686437</v>
      </c>
      <c r="U94">
        <f>VLOOKUP(Zuweisungen!D94,'DIN V 18599-10'!$B$2:$H$47,6,FALSE)</f>
        <v>7</v>
      </c>
      <c r="V94">
        <f>VLOOKUP(Zuweisungen!D94,'DIN V 18599-10'!$B$2:$H$47,7,FALSE)</f>
        <v>18</v>
      </c>
      <c r="W94">
        <f>VLOOKUP(Zuweisungen!F94,'SIA 2024'!$C$2:$I$46,6,FALSE)</f>
        <v>7</v>
      </c>
      <c r="X94">
        <f>VLOOKUP(Zuweisungen!F94,'SIA 2024'!$C$2:$I$46,7,FALSE)</f>
        <v>18</v>
      </c>
      <c r="Y94">
        <f>VLOOKUP(B94,[2]usage_profiles!$E$2:$AH$109,3,FALSE)</f>
        <v>5.1677190985254082</v>
      </c>
      <c r="Z94">
        <f>VLOOKUP(B94,[2]usage_profiles!$E$2:$AH$109,4,FALSE)</f>
        <v>20.057702911826961</v>
      </c>
    </row>
    <row r="95" spans="1:26" x14ac:dyDescent="0.25">
      <c r="A95" t="s">
        <v>24</v>
      </c>
      <c r="B95" t="s">
        <v>325</v>
      </c>
      <c r="C95" t="s">
        <v>152</v>
      </c>
      <c r="D95" s="1" t="str">
        <f>VLOOKUP(Zuweisungen!C95,'DIN V 18599-10'!$A$2:$B$47,2,FALSE)</f>
        <v>33</v>
      </c>
      <c r="E95" t="s">
        <v>85</v>
      </c>
      <c r="F95" t="str">
        <f>VLOOKUP(Zuweisungen!E95,'SIA 2024'!$A$2:$C$46,3,FALSE)</f>
        <v>12.9</v>
      </c>
      <c r="G95" t="str">
        <f>VLOOKUP(B95,[1]data_18599_10_default_avarge!$A$2:$M$112,1,FALSE)</f>
        <v>Park-/Garagengebäude, Fahrradparkhaus</v>
      </c>
      <c r="H95">
        <f>VLOOKUP(B95,[1]data_18599_10_default_avarge!$A$2:$M$112,2,FALSE)</f>
        <v>104</v>
      </c>
      <c r="I95" s="9" t="str">
        <f>VLOOKUP(Zuweisungen!D95,'DIN V 18599-10'!$B$2:$F$47,2,FALSE)</f>
        <v>70</v>
      </c>
      <c r="J95" s="9">
        <f>VLOOKUP(Zuweisungen!F95,'SIA 2024'!$C$2:$G$46,2,FALSE)</f>
        <v>70</v>
      </c>
      <c r="K95" s="9">
        <f>VLOOKUP(B95,[2]usage_profiles!$E$2:$AH$109,29,FALSE)</f>
        <v>7.9120725976340962</v>
      </c>
      <c r="L95" s="19" t="str">
        <f>VLOOKUP(Zuweisungen!D95,'DIN V 18599-10'!$B$2:$F$47,3,FALSE)</f>
        <v>0</v>
      </c>
      <c r="M95" s="19" t="str">
        <f>VLOOKUP(Zuweisungen!D95,'DIN V 18599-10'!$B$2:$F$47,4,FALSE)</f>
        <v>0</v>
      </c>
      <c r="N95" s="19" t="str">
        <f>VLOOKUP(Zuweisungen!D95,'DIN V 18599-10'!$B$2:$F$47,5,FALSE)</f>
        <v>0</v>
      </c>
      <c r="O95" s="10" t="str">
        <f>VLOOKUP(Zuweisungen!F95,'SIA 2024'!$C$2:$G$46,4,FALSE)</f>
        <v>0.5</v>
      </c>
      <c r="P95" s="11">
        <f>VLOOKUP(Zuweisungen!F95,'SIA 2024'!$C$2:$G$46,3,FALSE)</f>
        <v>1</v>
      </c>
      <c r="Q95" s="12">
        <f>VLOOKUP(Zuweisungen!F95,'SIA 2024'!$C$2:$G$46,5,FALSE)</f>
        <v>2</v>
      </c>
      <c r="R95" s="22">
        <f>VLOOKUP(B95,[2]usage_profiles!$E$2:$AH$109,30,FALSE)</f>
        <v>20.636914600550966</v>
      </c>
      <c r="S95" s="12">
        <f>VLOOKUP(B95,[2]usage_profiles!$E$2:$AH$109,30,FALSE)</f>
        <v>20.636914600550966</v>
      </c>
      <c r="T95" s="22">
        <f>VLOOKUP(B95,[2]usage_profiles!$E$2:$AH$109,30,FALSE)</f>
        <v>20.636914600550966</v>
      </c>
      <c r="U95">
        <f>VLOOKUP(Zuweisungen!D95,'DIN V 18599-10'!$B$2:$H$47,6,FALSE)</f>
        <v>9</v>
      </c>
      <c r="V95">
        <f>VLOOKUP(Zuweisungen!D95,'DIN V 18599-10'!$B$2:$H$47,7,FALSE)</f>
        <v>24</v>
      </c>
      <c r="W95">
        <f>VLOOKUP(Zuweisungen!F95,'SIA 2024'!$C$2:$I$46,6,FALSE)</f>
        <v>7</v>
      </c>
      <c r="X95">
        <f>VLOOKUP(Zuweisungen!F95,'SIA 2024'!$C$2:$I$46,7,FALSE)</f>
        <v>18</v>
      </c>
      <c r="Y95">
        <f>VLOOKUP(B95,[2]usage_profiles!$E$2:$AH$109,3,FALSE)</f>
        <v>2.4412736995624704</v>
      </c>
      <c r="Z95">
        <f>VLOOKUP(B95,[2]usage_profiles!$E$2:$AH$109,4,FALSE)</f>
        <v>21.812980068060284</v>
      </c>
    </row>
    <row r="96" spans="1:26" x14ac:dyDescent="0.25">
      <c r="A96" t="s">
        <v>24</v>
      </c>
      <c r="B96" t="s">
        <v>326</v>
      </c>
      <c r="C96" s="1" t="s">
        <v>125</v>
      </c>
      <c r="D96" s="1" t="str">
        <f>VLOOKUP(Zuweisungen!C96,'DIN V 18599-10'!$A$2:$B$47,2,FALSE)</f>
        <v>19</v>
      </c>
      <c r="E96" s="3" t="s">
        <v>221</v>
      </c>
      <c r="F96" t="str">
        <f>VLOOKUP(Zuweisungen!E96,'SIA 2024'!$A$2:$C$46,3,FALSE)</f>
        <v>12.1</v>
      </c>
      <c r="G96" t="str">
        <f>VLOOKUP(B96,[1]data_18599_10_default_avarge!$A$2:$M$112,1,FALSE)</f>
        <v>Halle für sonstige Verkehrsmittel (z.B. für Flugzeuge, Schienenfahrzeuge)</v>
      </c>
      <c r="H96">
        <f>VLOOKUP(B96,[1]data_18599_10_default_avarge!$A$2:$M$112,2,FALSE)</f>
        <v>105</v>
      </c>
      <c r="I96" s="9" t="str">
        <f>VLOOKUP(Zuweisungen!D96,'DIN V 18599-10'!$B$2:$F$47,2,FALSE)</f>
        <v>70</v>
      </c>
      <c r="J96" s="9">
        <f>VLOOKUP(Zuweisungen!F96,'SIA 2024'!$C$2:$G$46,2,FALSE)</f>
        <v>70</v>
      </c>
      <c r="K96" s="9">
        <f>VLOOKUP(B96,[2]usage_profiles!$E$2:$AH$109,29,FALSE)</f>
        <v>7.9120725976340962</v>
      </c>
      <c r="L96" s="19" t="str">
        <f>VLOOKUP(Zuweisungen!D96,'DIN V 18599-10'!$B$2:$F$47,3,FALSE)</f>
        <v>0</v>
      </c>
      <c r="M96" s="19" t="str">
        <f>VLOOKUP(Zuweisungen!D96,'DIN V 18599-10'!$B$2:$F$47,4,FALSE)</f>
        <v>0</v>
      </c>
      <c r="N96" s="19" t="str">
        <f>VLOOKUP(Zuweisungen!D96,'DIN V 18599-10'!$B$2:$F$47,5,FALSE)</f>
        <v>0</v>
      </c>
      <c r="O96" s="10">
        <f>VLOOKUP(Zuweisungen!F96,'SIA 2024'!$C$2:$G$46,4,FALSE)</f>
        <v>0</v>
      </c>
      <c r="P96" s="11">
        <f>VLOOKUP(Zuweisungen!F96,'SIA 2024'!$C$2:$G$46,3,FALSE)</f>
        <v>0</v>
      </c>
      <c r="Q96" s="12">
        <f>VLOOKUP(Zuweisungen!F96,'SIA 2024'!$C$2:$G$46,5,FALSE)</f>
        <v>0</v>
      </c>
      <c r="R96" s="22">
        <f>VLOOKUP(B96,[2]usage_profiles!$E$2:$AH$109,30,FALSE)</f>
        <v>20.636914600550966</v>
      </c>
      <c r="S96" s="12">
        <f>VLOOKUP(B96,[2]usage_profiles!$E$2:$AH$109,30,FALSE)</f>
        <v>20.636914600550966</v>
      </c>
      <c r="T96" s="22">
        <f>VLOOKUP(B96,[2]usage_profiles!$E$2:$AH$109,30,FALSE)</f>
        <v>20.636914600550966</v>
      </c>
      <c r="U96">
        <f>VLOOKUP(Zuweisungen!D96,'DIN V 18599-10'!$B$2:$H$47,6,FALSE)</f>
        <v>7</v>
      </c>
      <c r="V96">
        <f>VLOOKUP(Zuweisungen!D96,'DIN V 18599-10'!$B$2:$H$47,7,FALSE)</f>
        <v>18</v>
      </c>
      <c r="W96">
        <f>VLOOKUP(Zuweisungen!F96,'SIA 2024'!$C$2:$I$46,6,FALSE)</f>
        <v>6</v>
      </c>
      <c r="X96">
        <f>VLOOKUP(Zuweisungen!F96,'SIA 2024'!$C$2:$I$46,7,FALSE)</f>
        <v>19</v>
      </c>
      <c r="Y96">
        <f>VLOOKUP(B96,[2]usage_profiles!$E$2:$AH$109,3,FALSE)</f>
        <v>2.4412736995624704</v>
      </c>
      <c r="Z96">
        <f>VLOOKUP(B96,[2]usage_profiles!$E$2:$AH$109,4,FALSE)</f>
        <v>21.812980068060284</v>
      </c>
    </row>
    <row r="97" spans="1:26" x14ac:dyDescent="0.25">
      <c r="A97" t="s">
        <v>24</v>
      </c>
      <c r="B97" t="s">
        <v>327</v>
      </c>
      <c r="C97" s="1" t="s">
        <v>329</v>
      </c>
      <c r="D97" s="1" t="str">
        <f>VLOOKUP(Zuweisungen!C97,'DIN V 18599-10'!$A$2:$B$47,2,FALSE)</f>
        <v>41</v>
      </c>
      <c r="E97" s="3" t="s">
        <v>73</v>
      </c>
      <c r="F97" t="str">
        <f>VLOOKUP(Zuweisungen!E97,'SIA 2024'!$A$2:$C$46,3,FALSE)</f>
        <v>10.1</v>
      </c>
      <c r="G97" t="str">
        <f>VLOOKUP(B97,[1]data_18599_10_default_avarge!$A$2:$M$112,1,FALSE)</f>
        <v>Gebäude zur Pflege von Fahrzeugen (z.B. Waschstraße)</v>
      </c>
      <c r="H97">
        <f>VLOOKUP(B97,[1]data_18599_10_default_avarge!$A$2:$M$112,2,FALSE)</f>
        <v>106</v>
      </c>
      <c r="I97" s="9" t="str">
        <f>VLOOKUP(Zuweisungen!D97,'DIN V 18599-10'!$B$2:$F$47,2,FALSE)</f>
        <v>70</v>
      </c>
      <c r="J97" s="9">
        <f>VLOOKUP(Zuweisungen!F97,'SIA 2024'!$C$2:$G$46,2,FALSE)</f>
        <v>90</v>
      </c>
      <c r="K97" s="9">
        <f>VLOOKUP(B97,[2]usage_profiles!$E$2:$AH$109,29,FALSE)</f>
        <v>36.048453369857171</v>
      </c>
      <c r="L97" s="19" t="str">
        <f>VLOOKUP(Zuweisungen!D97,'DIN V 18599-10'!$B$2:$F$47,3,FALSE)</f>
        <v>0</v>
      </c>
      <c r="M97" s="19" t="str">
        <f>VLOOKUP(Zuweisungen!D97,'DIN V 18599-10'!$B$2:$F$47,4,FALSE)</f>
        <v>0</v>
      </c>
      <c r="N97" s="19" t="str">
        <f>VLOOKUP(Zuweisungen!D97,'DIN V 18599-10'!$B$2:$F$47,5,FALSE)</f>
        <v>0</v>
      </c>
      <c r="O97" s="10">
        <f>VLOOKUP(Zuweisungen!F97,'SIA 2024'!$C$2:$G$46,4,FALSE)</f>
        <v>0</v>
      </c>
      <c r="P97" s="11">
        <f>VLOOKUP(Zuweisungen!F97,'SIA 2024'!$C$2:$G$46,3,FALSE)</f>
        <v>0</v>
      </c>
      <c r="Q97" s="12">
        <f>VLOOKUP(Zuweisungen!F97,'SIA 2024'!$C$2:$G$46,5,FALSE)</f>
        <v>0</v>
      </c>
      <c r="R97" s="22">
        <f>VLOOKUP(B97,[2]usage_profiles!$E$2:$AH$109,30,FALSE)</f>
        <v>518.71997011686437</v>
      </c>
      <c r="S97" s="12">
        <f>VLOOKUP(B97,[2]usage_profiles!$E$2:$AH$109,30,FALSE)</f>
        <v>518.71997011686437</v>
      </c>
      <c r="T97" s="22">
        <f>VLOOKUP(B97,[2]usage_profiles!$E$2:$AH$109,30,FALSE)</f>
        <v>518.71997011686437</v>
      </c>
      <c r="U97">
        <f>VLOOKUP(Zuweisungen!D97,'DIN V 18599-10'!$B$2:$H$47,6,FALSE)</f>
        <v>0</v>
      </c>
      <c r="V97">
        <f>VLOOKUP(Zuweisungen!D97,'DIN V 18599-10'!$B$2:$H$47,7,FALSE)</f>
        <v>24</v>
      </c>
      <c r="W97">
        <f>VLOOKUP(Zuweisungen!F97,'SIA 2024'!$C$2:$I$46,6,FALSE)</f>
        <v>0</v>
      </c>
      <c r="X97">
        <f>VLOOKUP(Zuweisungen!F97,'SIA 2024'!$C$2:$I$46,7,FALSE)</f>
        <v>24</v>
      </c>
      <c r="Y97">
        <f>VLOOKUP(B97,[2]usage_profiles!$E$2:$AH$109,3,FALSE)</f>
        <v>5.1677190985254082</v>
      </c>
      <c r="Z97">
        <f>VLOOKUP(B97,[2]usage_profiles!$E$2:$AH$109,4,FALSE)</f>
        <v>20.057702911826961</v>
      </c>
    </row>
    <row r="98" spans="1:26" x14ac:dyDescent="0.25">
      <c r="A98" t="s">
        <v>24</v>
      </c>
      <c r="B98" t="s">
        <v>328</v>
      </c>
      <c r="C98" t="s">
        <v>19</v>
      </c>
      <c r="D98" s="1" t="str">
        <f>VLOOKUP(Zuweisungen!C98,'DIN V 18599-10'!$A$2:$B$47,2,FALSE)</f>
        <v>5</v>
      </c>
      <c r="E98" t="s">
        <v>87</v>
      </c>
      <c r="F98" t="str">
        <f>VLOOKUP(Zuweisungen!E98,'SIA 2024'!$A$2:$C$46,3,FALSE)</f>
        <v>3.4</v>
      </c>
      <c r="G98" t="str">
        <f>VLOOKUP(B98,[1]data_18599_10_default_avarge!$A$2:$M$112,1,FALSE)</f>
        <v>Empfangsgebäude (Bahnhof, Busbahnhof, Flughafen, Schiffsterminal)</v>
      </c>
      <c r="H98">
        <f>VLOOKUP(B98,[1]data_18599_10_default_avarge!$A$2:$M$112,2,FALSE)</f>
        <v>107</v>
      </c>
      <c r="I98" s="9">
        <f>VLOOKUP(Zuweisungen!D98,'DIN V 18599-10'!$B$2:$F$47,2,FALSE)</f>
        <v>70</v>
      </c>
      <c r="J98" s="9">
        <f>VLOOKUP(Zuweisungen!F98,'SIA 2024'!$C$2:$G$46,2,FALSE)</f>
        <v>70</v>
      </c>
      <c r="K98" s="9">
        <f>VLOOKUP(B98,[2]usage_profiles!$E$2:$AH$109,29,FALSE)</f>
        <v>77.626398928038952</v>
      </c>
      <c r="L98" s="19" t="str">
        <f>VLOOKUP(Zuweisungen!D98,'DIN V 18599-10'!$B$2:$F$47,3,FALSE)</f>
        <v>1.5</v>
      </c>
      <c r="M98" s="19" t="str">
        <f>VLOOKUP(Zuweisungen!D98,'DIN V 18599-10'!$B$2:$F$47,4,FALSE)</f>
        <v>4</v>
      </c>
      <c r="N98" s="19" t="str">
        <f>VLOOKUP(Zuweisungen!D98,'DIN V 18599-10'!$B$2:$F$47,5,FALSE)</f>
        <v>9.5</v>
      </c>
      <c r="O98" s="10" t="str">
        <f>VLOOKUP(Zuweisungen!F98,'SIA 2024'!$C$2:$G$46,4,FALSE)</f>
        <v>1.5</v>
      </c>
      <c r="P98" s="11">
        <f>VLOOKUP(Zuweisungen!F98,'SIA 2024'!$C$2:$G$46,3,FALSE)</f>
        <v>4</v>
      </c>
      <c r="Q98" s="12" t="str">
        <f>VLOOKUP(Zuweisungen!F98,'SIA 2024'!$C$2:$G$46,5,FALSE)</f>
        <v>9.5</v>
      </c>
      <c r="R98" s="22">
        <f>VLOOKUP(B98,[2]usage_profiles!$E$2:$AH$109,30,FALSE)</f>
        <v>11.116273803008287</v>
      </c>
      <c r="S98" s="12">
        <f>VLOOKUP(B98,[2]usage_profiles!$E$2:$AH$109,30,FALSE)</f>
        <v>11.116273803008287</v>
      </c>
      <c r="T98" s="22">
        <f>VLOOKUP(B98,[2]usage_profiles!$E$2:$AH$109,30,FALSE)</f>
        <v>11.116273803008287</v>
      </c>
      <c r="U98">
        <f>VLOOKUP(Zuweisungen!D98,'DIN V 18599-10'!$B$2:$H$47,6,FALSE)</f>
        <v>7</v>
      </c>
      <c r="V98">
        <f>VLOOKUP(Zuweisungen!D98,'DIN V 18599-10'!$B$2:$H$47,7,FALSE)</f>
        <v>18</v>
      </c>
      <c r="W98">
        <f>VLOOKUP(Zuweisungen!F98,'SIA 2024'!$C$2:$I$46,6,FALSE)</f>
        <v>7</v>
      </c>
      <c r="X98">
        <f>VLOOKUP(Zuweisungen!F98,'SIA 2024'!$C$2:$I$46,7,FALSE)</f>
        <v>18</v>
      </c>
      <c r="Y98">
        <f>VLOOKUP(B98,[2]usage_profiles!$E$2:$AH$109,3,FALSE)</f>
        <v>7.4444486383452544</v>
      </c>
      <c r="Z98">
        <f>VLOOKUP(B98,[2]usage_profiles!$E$2:$AH$109,4,FALSE)</f>
        <v>18.967595825391136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200-000000000000}">
          <x14:formula1>
            <xm:f>'SIA 2024'!$A$2:$A$46</xm:f>
          </x14:formula1>
          <xm:sqref>E2:E98</xm:sqref>
        </x14:dataValidation>
        <x14:dataValidation type="list" allowBlank="1" showInputMessage="1" showErrorMessage="1" xr:uid="{00000000-0002-0000-0200-000001000000}">
          <x14:formula1>
            <xm:f>'DIN V 18599-10'!$A$2:$A$47</xm:f>
          </x14:formula1>
          <xm:sqref>C2:C98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DIN V 18599-10</vt:lpstr>
      <vt:lpstr>SIA 2024</vt:lpstr>
      <vt:lpstr>Zuweisungen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Windows-Benutzer</dc:creator>
  <cp:lastModifiedBy>D17128779 Julian Bischof</cp:lastModifiedBy>
  <cp:lastPrinted>2020-05-21T09:32:15Z</cp:lastPrinted>
  <dcterms:created xsi:type="dcterms:W3CDTF">2020-03-31T13:46:08Z</dcterms:created>
  <dcterms:modified xsi:type="dcterms:W3CDTF">2025-01-27T14:00:23Z</dcterms:modified>
</cp:coreProperties>
</file>